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yanbu'a\"/>
    </mc:Choice>
  </mc:AlternateContent>
  <xr:revisionPtr revIDLastSave="0" documentId="13_ncr:1_{1E109037-8745-41C4-8320-D6B42BB6401C}" xr6:coauthVersionLast="47" xr6:coauthVersionMax="47" xr10:uidLastSave="{00000000-0000-0000-0000-000000000000}"/>
  <bookViews>
    <workbookView xWindow="-120" yWindow="-120" windowWidth="20730" windowHeight="11040" tabRatio="780" firstSheet="2" activeTab="2" xr2:uid="{00000000-000D-0000-FFFF-FFFF00000000}"/>
  </bookViews>
  <sheets>
    <sheet name="Sheet1" sheetId="8" state="hidden" r:id="rId1"/>
    <sheet name="Data" sheetId="7" state="hidden" r:id="rId2"/>
    <sheet name="S. DEPAN" sheetId="16" r:id="rId3"/>
    <sheet name="S. BELAKANG" sheetId="18" r:id="rId4"/>
    <sheet name="Data " sheetId="12" r:id="rId5"/>
    <sheet name="data aplikasi" sheetId="23" r:id="rId6"/>
    <sheet name="REKAP1" sheetId="27" state="hidden" r:id="rId7"/>
    <sheet name="REKAP" sheetId="15" r:id="rId8"/>
    <sheet name="tajwid" sheetId="21" r:id="rId9"/>
    <sheet name="tauhid" sheetId="1" r:id="rId10"/>
    <sheet name="kitabah" sheetId="22" r:id="rId11"/>
    <sheet name="Wudlu" sheetId="24" r:id="rId12"/>
    <sheet name="Fasolatan" sheetId="5" r:id="rId13"/>
    <sheet name="doa harian" sheetId="25" r:id="rId14"/>
    <sheet name="Tartil dan Fashohah" sheetId="3" r:id="rId15"/>
    <sheet name="Ghoroib " sheetId="26" r:id="rId16"/>
    <sheet name="Surat Pendek" sheetId="4" r:id="rId17"/>
    <sheet name="Printer" sheetId="9" state="hidden" r:id="rId18"/>
    <sheet name="Rekap (2)" sheetId="10" state="hidden" r:id="rId19"/>
    <sheet name="peringkat" sheetId="11" r:id="rId20"/>
    <sheet name="Formulir" sheetId="13" r:id="rId21"/>
  </sheets>
  <definedNames>
    <definedName name="_xlnm.Print_Area" localSheetId="12">Fasolatan!$A$1:$T$36</definedName>
    <definedName name="_xlnm.Print_Area" localSheetId="10">kitabah!$A$1:$S$38</definedName>
    <definedName name="_xlnm.Print_Area" localSheetId="8">tajwid!$A$1:$S$128</definedName>
    <definedName name="_xlnm.Print_Area" localSheetId="9">tauhid!$A$1:$S$128</definedName>
  </definedNames>
  <calcPr calcId="181029"/>
</workbook>
</file>

<file path=xl/calcChain.xml><?xml version="1.0" encoding="utf-8"?>
<calcChain xmlns="http://schemas.openxmlformats.org/spreadsheetml/2006/main">
  <c r="E25" i="18" l="1"/>
  <c r="E24" i="18"/>
  <c r="E23" i="18"/>
  <c r="F23" i="18" s="1"/>
  <c r="E22" i="18"/>
  <c r="F22" i="18" s="1"/>
  <c r="E21" i="18"/>
  <c r="F21" i="18" s="1"/>
  <c r="E20" i="18"/>
  <c r="F20" i="18" s="1"/>
  <c r="E19" i="18"/>
  <c r="F19" i="18" s="1"/>
  <c r="E18" i="18"/>
  <c r="F18" i="18" s="1"/>
  <c r="E17" i="18"/>
  <c r="F17" i="18" s="1"/>
  <c r="F24" i="18"/>
  <c r="E16" i="18"/>
  <c r="F16" i="18" s="1"/>
  <c r="D9" i="27"/>
  <c r="E9" i="27"/>
  <c r="F9" i="27"/>
  <c r="G9" i="27"/>
  <c r="H9" i="27"/>
  <c r="I9" i="27"/>
  <c r="J9" i="27"/>
  <c r="K9" i="27"/>
  <c r="L9" i="27"/>
  <c r="D10" i="27"/>
  <c r="E10" i="27"/>
  <c r="F10" i="27"/>
  <c r="N10" i="27" s="1"/>
  <c r="G10" i="27"/>
  <c r="H10" i="27"/>
  <c r="I10" i="27"/>
  <c r="J10" i="27"/>
  <c r="K10" i="27"/>
  <c r="L10" i="27"/>
  <c r="D11" i="27"/>
  <c r="E11" i="27"/>
  <c r="N11" i="27" s="1"/>
  <c r="F11" i="27"/>
  <c r="G11" i="27"/>
  <c r="H11" i="27"/>
  <c r="I11" i="27"/>
  <c r="J11" i="27"/>
  <c r="K11" i="27"/>
  <c r="L11" i="27"/>
  <c r="D12" i="27"/>
  <c r="D48" i="27" s="1"/>
  <c r="E12" i="27"/>
  <c r="F12" i="27"/>
  <c r="G12" i="27"/>
  <c r="H12" i="27"/>
  <c r="H48" i="27" s="1"/>
  <c r="I12" i="27"/>
  <c r="J12" i="27"/>
  <c r="K12" i="27"/>
  <c r="L12" i="27"/>
  <c r="L48" i="27" s="1"/>
  <c r="D13" i="27"/>
  <c r="E13" i="27"/>
  <c r="F13" i="27"/>
  <c r="G13" i="27"/>
  <c r="G49" i="27" s="1"/>
  <c r="H13" i="27"/>
  <c r="I13" i="27"/>
  <c r="J13" i="27"/>
  <c r="K13" i="27"/>
  <c r="K49" i="27" s="1"/>
  <c r="L13" i="27"/>
  <c r="D14" i="27"/>
  <c r="E14" i="27"/>
  <c r="F14" i="27"/>
  <c r="N14" i="27" s="1"/>
  <c r="G14" i="27"/>
  <c r="H14" i="27"/>
  <c r="I14" i="27"/>
  <c r="J14" i="27"/>
  <c r="J50" i="27" s="1"/>
  <c r="K14" i="27"/>
  <c r="L14" i="27"/>
  <c r="E8" i="27"/>
  <c r="F8" i="27"/>
  <c r="G8" i="27"/>
  <c r="H8" i="27"/>
  <c r="N8" i="27" s="1"/>
  <c r="I8" i="27"/>
  <c r="J8" i="27"/>
  <c r="K8" i="27"/>
  <c r="L8" i="27"/>
  <c r="L44" i="27" s="1"/>
  <c r="D8" i="27"/>
  <c r="D44" i="27" s="1"/>
  <c r="K66" i="27"/>
  <c r="B64" i="27"/>
  <c r="J63" i="27"/>
  <c r="F63" i="27"/>
  <c r="I62" i="27"/>
  <c r="E62" i="27"/>
  <c r="L61" i="27"/>
  <c r="H61" i="27"/>
  <c r="D61" i="27"/>
  <c r="B60" i="27"/>
  <c r="J59" i="27"/>
  <c r="F59" i="27"/>
  <c r="I58" i="27"/>
  <c r="E58" i="27"/>
  <c r="L57" i="27"/>
  <c r="H57" i="27"/>
  <c r="D57" i="27"/>
  <c r="B56" i="27"/>
  <c r="J55" i="27"/>
  <c r="F55" i="27"/>
  <c r="I54" i="27"/>
  <c r="E54" i="27"/>
  <c r="L53" i="27"/>
  <c r="H53" i="27"/>
  <c r="D53" i="27"/>
  <c r="B52" i="27"/>
  <c r="J51" i="27"/>
  <c r="F51" i="27"/>
  <c r="D51" i="27"/>
  <c r="L50" i="27"/>
  <c r="K50" i="27"/>
  <c r="I50" i="27"/>
  <c r="H50" i="27"/>
  <c r="G50" i="27"/>
  <c r="E50" i="27"/>
  <c r="D50" i="27"/>
  <c r="L49" i="27"/>
  <c r="J49" i="27"/>
  <c r="I49" i="27"/>
  <c r="H49" i="27"/>
  <c r="F49" i="27"/>
  <c r="E49" i="27"/>
  <c r="D49" i="27"/>
  <c r="K48" i="27"/>
  <c r="J48" i="27"/>
  <c r="I48" i="27"/>
  <c r="G48" i="27"/>
  <c r="F48" i="27"/>
  <c r="E48" i="27"/>
  <c r="B48" i="27"/>
  <c r="L47" i="27"/>
  <c r="K47" i="27"/>
  <c r="J47" i="27"/>
  <c r="I47" i="27"/>
  <c r="H47" i="27"/>
  <c r="G47" i="27"/>
  <c r="F47" i="27"/>
  <c r="E47" i="27"/>
  <c r="D47" i="27"/>
  <c r="L46" i="27"/>
  <c r="K46" i="27"/>
  <c r="J46" i="27"/>
  <c r="I46" i="27"/>
  <c r="H46" i="27"/>
  <c r="G46" i="27"/>
  <c r="F46" i="27"/>
  <c r="E46" i="27"/>
  <c r="D46" i="27"/>
  <c r="L45" i="27"/>
  <c r="K45" i="27"/>
  <c r="J45" i="27"/>
  <c r="I45" i="27"/>
  <c r="H45" i="27"/>
  <c r="G45" i="27"/>
  <c r="F45" i="27"/>
  <c r="E45" i="27"/>
  <c r="D45" i="27"/>
  <c r="K44" i="27"/>
  <c r="J44" i="27"/>
  <c r="I44" i="27"/>
  <c r="G44" i="27"/>
  <c r="F44" i="27"/>
  <c r="E44" i="27"/>
  <c r="B44" i="27"/>
  <c r="K30" i="27"/>
  <c r="L28" i="27"/>
  <c r="L64" i="27" s="1"/>
  <c r="K28" i="27"/>
  <c r="K64" i="27" s="1"/>
  <c r="J28" i="27"/>
  <c r="J64" i="27" s="1"/>
  <c r="I28" i="27"/>
  <c r="I64" i="27" s="1"/>
  <c r="H28" i="27"/>
  <c r="H64" i="27" s="1"/>
  <c r="G28" i="27"/>
  <c r="G64" i="27" s="1"/>
  <c r="F28" i="27"/>
  <c r="F64" i="27" s="1"/>
  <c r="E28" i="27"/>
  <c r="E64" i="27" s="1"/>
  <c r="D28" i="27"/>
  <c r="D64" i="27" s="1"/>
  <c r="N64" i="27" s="1"/>
  <c r="C28" i="27"/>
  <c r="B28" i="27"/>
  <c r="L27" i="27"/>
  <c r="L63" i="27" s="1"/>
  <c r="K27" i="27"/>
  <c r="K63" i="27" s="1"/>
  <c r="J27" i="27"/>
  <c r="I27" i="27"/>
  <c r="I63" i="27" s="1"/>
  <c r="H27" i="27"/>
  <c r="H63" i="27" s="1"/>
  <c r="G27" i="27"/>
  <c r="G63" i="27" s="1"/>
  <c r="F27" i="27"/>
  <c r="E27" i="27"/>
  <c r="E63" i="27" s="1"/>
  <c r="D27" i="27"/>
  <c r="D63" i="27" s="1"/>
  <c r="C27" i="27"/>
  <c r="B27" i="27"/>
  <c r="B63" i="27" s="1"/>
  <c r="L26" i="27"/>
  <c r="L62" i="27" s="1"/>
  <c r="K26" i="27"/>
  <c r="K62" i="27" s="1"/>
  <c r="J26" i="27"/>
  <c r="J62" i="27" s="1"/>
  <c r="I26" i="27"/>
  <c r="H26" i="27"/>
  <c r="H62" i="27" s="1"/>
  <c r="G26" i="27"/>
  <c r="G62" i="27" s="1"/>
  <c r="F26" i="27"/>
  <c r="F62" i="27" s="1"/>
  <c r="E26" i="27"/>
  <c r="N26" i="27" s="1"/>
  <c r="D26" i="27"/>
  <c r="D62" i="27" s="1"/>
  <c r="C26" i="27"/>
  <c r="B26" i="27"/>
  <c r="B62" i="27" s="1"/>
  <c r="L25" i="27"/>
  <c r="K25" i="27"/>
  <c r="K61" i="27" s="1"/>
  <c r="J25" i="27"/>
  <c r="J61" i="27" s="1"/>
  <c r="I25" i="27"/>
  <c r="I61" i="27" s="1"/>
  <c r="H25" i="27"/>
  <c r="G25" i="27"/>
  <c r="G61" i="27" s="1"/>
  <c r="F25" i="27"/>
  <c r="F61" i="27" s="1"/>
  <c r="E25" i="27"/>
  <c r="N25" i="27" s="1"/>
  <c r="D25" i="27"/>
  <c r="C25" i="27"/>
  <c r="B25" i="27"/>
  <c r="B61" i="27" s="1"/>
  <c r="L24" i="27"/>
  <c r="L60" i="27" s="1"/>
  <c r="K24" i="27"/>
  <c r="K60" i="27" s="1"/>
  <c r="J24" i="27"/>
  <c r="J60" i="27" s="1"/>
  <c r="I24" i="27"/>
  <c r="I60" i="27" s="1"/>
  <c r="H24" i="27"/>
  <c r="H60" i="27" s="1"/>
  <c r="G24" i="27"/>
  <c r="G60" i="27" s="1"/>
  <c r="F24" i="27"/>
  <c r="F60" i="27" s="1"/>
  <c r="E24" i="27"/>
  <c r="E60" i="27" s="1"/>
  <c r="D24" i="27"/>
  <c r="D60" i="27" s="1"/>
  <c r="N60" i="27" s="1"/>
  <c r="C24" i="27"/>
  <c r="B24" i="27"/>
  <c r="L23" i="27"/>
  <c r="L59" i="27" s="1"/>
  <c r="K23" i="27"/>
  <c r="K59" i="27" s="1"/>
  <c r="J23" i="27"/>
  <c r="I23" i="27"/>
  <c r="I59" i="27" s="1"/>
  <c r="H23" i="27"/>
  <c r="H59" i="27" s="1"/>
  <c r="G23" i="27"/>
  <c r="G59" i="27" s="1"/>
  <c r="F23" i="27"/>
  <c r="E23" i="27"/>
  <c r="E59" i="27" s="1"/>
  <c r="D23" i="27"/>
  <c r="D59" i="27" s="1"/>
  <c r="C23" i="27"/>
  <c r="B23" i="27"/>
  <c r="B59" i="27" s="1"/>
  <c r="L22" i="27"/>
  <c r="L58" i="27" s="1"/>
  <c r="K22" i="27"/>
  <c r="K58" i="27" s="1"/>
  <c r="J22" i="27"/>
  <c r="J58" i="27" s="1"/>
  <c r="I22" i="27"/>
  <c r="H22" i="27"/>
  <c r="H58" i="27" s="1"/>
  <c r="G22" i="27"/>
  <c r="G58" i="27" s="1"/>
  <c r="F22" i="27"/>
  <c r="F58" i="27" s="1"/>
  <c r="E22" i="27"/>
  <c r="N22" i="27" s="1"/>
  <c r="D22" i="27"/>
  <c r="D58" i="27" s="1"/>
  <c r="C22" i="27"/>
  <c r="B22" i="27"/>
  <c r="B58" i="27" s="1"/>
  <c r="L21" i="27"/>
  <c r="K21" i="27"/>
  <c r="K57" i="27" s="1"/>
  <c r="J21" i="27"/>
  <c r="J57" i="27" s="1"/>
  <c r="I21" i="27"/>
  <c r="I57" i="27" s="1"/>
  <c r="H21" i="27"/>
  <c r="G21" i="27"/>
  <c r="G57" i="27" s="1"/>
  <c r="F21" i="27"/>
  <c r="F57" i="27" s="1"/>
  <c r="E21" i="27"/>
  <c r="N21" i="27" s="1"/>
  <c r="D21" i="27"/>
  <c r="C21" i="27"/>
  <c r="B21" i="27"/>
  <c r="B57" i="27" s="1"/>
  <c r="L20" i="27"/>
  <c r="L56" i="27" s="1"/>
  <c r="K20" i="27"/>
  <c r="K56" i="27" s="1"/>
  <c r="J20" i="27"/>
  <c r="J56" i="27" s="1"/>
  <c r="I20" i="27"/>
  <c r="I56" i="27" s="1"/>
  <c r="H20" i="27"/>
  <c r="H56" i="27" s="1"/>
  <c r="G20" i="27"/>
  <c r="G56" i="27" s="1"/>
  <c r="F20" i="27"/>
  <c r="F56" i="27" s="1"/>
  <c r="E20" i="27"/>
  <c r="E56" i="27" s="1"/>
  <c r="D20" i="27"/>
  <c r="D56" i="27" s="1"/>
  <c r="N56" i="27" s="1"/>
  <c r="C20" i="27"/>
  <c r="B20" i="27"/>
  <c r="L19" i="27"/>
  <c r="L55" i="27" s="1"/>
  <c r="K19" i="27"/>
  <c r="K55" i="27" s="1"/>
  <c r="J19" i="27"/>
  <c r="I19" i="27"/>
  <c r="I55" i="27" s="1"/>
  <c r="H19" i="27"/>
  <c r="H55" i="27" s="1"/>
  <c r="G19" i="27"/>
  <c r="G55" i="27" s="1"/>
  <c r="F19" i="27"/>
  <c r="E19" i="27"/>
  <c r="E55" i="27" s="1"/>
  <c r="D19" i="27"/>
  <c r="D55" i="27" s="1"/>
  <c r="C19" i="27"/>
  <c r="B19" i="27"/>
  <c r="B55" i="27" s="1"/>
  <c r="L18" i="27"/>
  <c r="L54" i="27" s="1"/>
  <c r="K18" i="27"/>
  <c r="K54" i="27" s="1"/>
  <c r="J18" i="27"/>
  <c r="J54" i="27" s="1"/>
  <c r="I18" i="27"/>
  <c r="H18" i="27"/>
  <c r="H54" i="27" s="1"/>
  <c r="G18" i="27"/>
  <c r="G54" i="27" s="1"/>
  <c r="F18" i="27"/>
  <c r="F54" i="27" s="1"/>
  <c r="E18" i="27"/>
  <c r="N18" i="27" s="1"/>
  <c r="D18" i="27"/>
  <c r="D54" i="27" s="1"/>
  <c r="C18" i="27"/>
  <c r="B18" i="27"/>
  <c r="B54" i="27" s="1"/>
  <c r="L17" i="27"/>
  <c r="K17" i="27"/>
  <c r="K53" i="27" s="1"/>
  <c r="J17" i="27"/>
  <c r="J53" i="27" s="1"/>
  <c r="I17" i="27"/>
  <c r="I53" i="27" s="1"/>
  <c r="H17" i="27"/>
  <c r="G17" i="27"/>
  <c r="G53" i="27" s="1"/>
  <c r="F17" i="27"/>
  <c r="F53" i="27" s="1"/>
  <c r="E17" i="27"/>
  <c r="N17" i="27" s="1"/>
  <c r="D17" i="27"/>
  <c r="C17" i="27"/>
  <c r="B17" i="27"/>
  <c r="B53" i="27" s="1"/>
  <c r="L16" i="27"/>
  <c r="L52" i="27" s="1"/>
  <c r="K16" i="27"/>
  <c r="K52" i="27" s="1"/>
  <c r="J16" i="27"/>
  <c r="J52" i="27" s="1"/>
  <c r="I16" i="27"/>
  <c r="I52" i="27" s="1"/>
  <c r="H16" i="27"/>
  <c r="H52" i="27" s="1"/>
  <c r="G16" i="27"/>
  <c r="G52" i="27" s="1"/>
  <c r="F16" i="27"/>
  <c r="F52" i="27" s="1"/>
  <c r="E16" i="27"/>
  <c r="E52" i="27" s="1"/>
  <c r="D16" i="27"/>
  <c r="D52" i="27" s="1"/>
  <c r="N52" i="27" s="1"/>
  <c r="C16" i="27"/>
  <c r="B16" i="27"/>
  <c r="L15" i="27"/>
  <c r="L51" i="27" s="1"/>
  <c r="K15" i="27"/>
  <c r="K51" i="27" s="1"/>
  <c r="J15" i="27"/>
  <c r="I15" i="27"/>
  <c r="I51" i="27" s="1"/>
  <c r="H15" i="27"/>
  <c r="H51" i="27" s="1"/>
  <c r="G15" i="27"/>
  <c r="G51" i="27" s="1"/>
  <c r="F15" i="27"/>
  <c r="E15" i="27"/>
  <c r="E51" i="27" s="1"/>
  <c r="C15" i="27"/>
  <c r="B15" i="27"/>
  <c r="B51" i="27" s="1"/>
  <c r="C14" i="27"/>
  <c r="B14" i="27"/>
  <c r="B50" i="27" s="1"/>
  <c r="N13" i="27"/>
  <c r="C13" i="27"/>
  <c r="B13" i="27"/>
  <c r="B49" i="27" s="1"/>
  <c r="C12" i="27"/>
  <c r="B12" i="27"/>
  <c r="C11" i="27"/>
  <c r="B11" i="27"/>
  <c r="B47" i="27" s="1"/>
  <c r="C10" i="27"/>
  <c r="B10" i="27"/>
  <c r="B46" i="27" s="1"/>
  <c r="N9" i="27"/>
  <c r="C9" i="27"/>
  <c r="B9" i="27"/>
  <c r="B45" i="27" s="1"/>
  <c r="C8" i="27"/>
  <c r="B8" i="27"/>
  <c r="E11" i="18"/>
  <c r="D19" i="16"/>
  <c r="D18" i="16"/>
  <c r="E10" i="18" s="1"/>
  <c r="D17" i="16"/>
  <c r="E8" i="18" s="1"/>
  <c r="D16" i="16"/>
  <c r="B14" i="16"/>
  <c r="E7" i="18" s="1"/>
  <c r="B16" i="16"/>
  <c r="B11" i="16"/>
  <c r="A4" i="12"/>
  <c r="N9" i="4"/>
  <c r="N10" i="4"/>
  <c r="N11" i="4"/>
  <c r="N12" i="4"/>
  <c r="N13" i="4"/>
  <c r="N14" i="4"/>
  <c r="N15" i="4"/>
  <c r="N16" i="4"/>
  <c r="K16" i="15" s="1"/>
  <c r="N17" i="4"/>
  <c r="N18" i="4"/>
  <c r="K18" i="15" s="1"/>
  <c r="N19" i="4"/>
  <c r="N20" i="4"/>
  <c r="K20" i="15" s="1"/>
  <c r="N8" i="4"/>
  <c r="N9" i="26"/>
  <c r="N10" i="26"/>
  <c r="N11" i="26"/>
  <c r="N12" i="26"/>
  <c r="N13" i="26"/>
  <c r="N14" i="26"/>
  <c r="N15" i="26"/>
  <c r="N16" i="26"/>
  <c r="J16" i="15" s="1"/>
  <c r="N17" i="26"/>
  <c r="N18" i="26"/>
  <c r="N19" i="26"/>
  <c r="N20" i="26"/>
  <c r="J20" i="15" s="1"/>
  <c r="N21" i="26"/>
  <c r="N22" i="26"/>
  <c r="N23" i="26"/>
  <c r="N24" i="26"/>
  <c r="J24" i="15" s="1"/>
  <c r="N8" i="26"/>
  <c r="L9" i="3"/>
  <c r="L10" i="3"/>
  <c r="L11" i="3"/>
  <c r="L12" i="3"/>
  <c r="L13" i="3"/>
  <c r="L14" i="3"/>
  <c r="L15" i="3"/>
  <c r="L16" i="3"/>
  <c r="I16" i="15" s="1"/>
  <c r="L17" i="3"/>
  <c r="L18" i="3"/>
  <c r="L19" i="3"/>
  <c r="L20" i="3"/>
  <c r="I20" i="15" s="1"/>
  <c r="L21" i="3"/>
  <c r="L22" i="3"/>
  <c r="L23" i="3"/>
  <c r="L24" i="3"/>
  <c r="I24" i="15" s="1"/>
  <c r="L25" i="3"/>
  <c r="L26" i="3"/>
  <c r="L27" i="3"/>
  <c r="L28" i="3"/>
  <c r="I28" i="15" s="1"/>
  <c r="L30" i="3"/>
  <c r="L8" i="3"/>
  <c r="N9" i="25"/>
  <c r="N10" i="25"/>
  <c r="N11" i="25"/>
  <c r="N12" i="25"/>
  <c r="N13" i="25"/>
  <c r="N14" i="25"/>
  <c r="N15" i="25"/>
  <c r="N16" i="25"/>
  <c r="H16" i="15" s="1"/>
  <c r="N17" i="25"/>
  <c r="N18" i="25"/>
  <c r="N19" i="25"/>
  <c r="N20" i="25"/>
  <c r="H20" i="15" s="1"/>
  <c r="N21" i="25"/>
  <c r="N22" i="25"/>
  <c r="N23" i="25"/>
  <c r="N24" i="25"/>
  <c r="H24" i="15" s="1"/>
  <c r="N25" i="25"/>
  <c r="N26" i="25"/>
  <c r="N27" i="25"/>
  <c r="N28" i="25"/>
  <c r="H28" i="15" s="1"/>
  <c r="N8" i="25"/>
  <c r="N9" i="5"/>
  <c r="N10" i="5"/>
  <c r="N11" i="5"/>
  <c r="N12" i="5"/>
  <c r="N13" i="5"/>
  <c r="N14" i="5"/>
  <c r="N15" i="5"/>
  <c r="N16" i="5"/>
  <c r="L16" i="15" s="1"/>
  <c r="N17" i="5"/>
  <c r="N18" i="5"/>
  <c r="N19" i="5"/>
  <c r="N20" i="5"/>
  <c r="L20" i="15" s="1"/>
  <c r="N21" i="5"/>
  <c r="N22" i="5"/>
  <c r="N23" i="5"/>
  <c r="N24" i="5"/>
  <c r="L24" i="15" s="1"/>
  <c r="N25" i="5"/>
  <c r="N26" i="5"/>
  <c r="N27" i="5"/>
  <c r="N28" i="5"/>
  <c r="L28" i="15" s="1"/>
  <c r="N8" i="5"/>
  <c r="N9" i="24"/>
  <c r="N10" i="24"/>
  <c r="N11" i="24"/>
  <c r="N12" i="24"/>
  <c r="N13" i="24"/>
  <c r="N14" i="24"/>
  <c r="N15" i="24"/>
  <c r="N16" i="24"/>
  <c r="G16" i="15" s="1"/>
  <c r="N17" i="24"/>
  <c r="N18" i="24"/>
  <c r="G18" i="15" s="1"/>
  <c r="N19" i="24"/>
  <c r="N20" i="24"/>
  <c r="G20" i="15" s="1"/>
  <c r="N21" i="24"/>
  <c r="N22" i="24"/>
  <c r="G22" i="15" s="1"/>
  <c r="N23" i="24"/>
  <c r="N24" i="24"/>
  <c r="G24" i="15" s="1"/>
  <c r="N25" i="24"/>
  <c r="N26" i="24"/>
  <c r="G26" i="15" s="1"/>
  <c r="N27" i="24"/>
  <c r="N28" i="24"/>
  <c r="G28" i="15" s="1"/>
  <c r="N8" i="24"/>
  <c r="N9" i="22"/>
  <c r="N10" i="22"/>
  <c r="N11" i="22"/>
  <c r="N12" i="22"/>
  <c r="N13" i="22"/>
  <c r="N14" i="22"/>
  <c r="N15" i="22"/>
  <c r="N16" i="22"/>
  <c r="F16" i="15" s="1"/>
  <c r="N17" i="22"/>
  <c r="N18" i="22"/>
  <c r="F18" i="15" s="1"/>
  <c r="N19" i="22"/>
  <c r="N20" i="22"/>
  <c r="F20" i="15" s="1"/>
  <c r="N21" i="22"/>
  <c r="N22" i="22"/>
  <c r="F22" i="15" s="1"/>
  <c r="N23" i="22"/>
  <c r="N24" i="22"/>
  <c r="F24" i="15" s="1"/>
  <c r="N25" i="22"/>
  <c r="N26" i="22"/>
  <c r="F26" i="15" s="1"/>
  <c r="N27" i="22"/>
  <c r="N28" i="22"/>
  <c r="F28" i="15" s="1"/>
  <c r="N8" i="22"/>
  <c r="N9" i="1"/>
  <c r="N10" i="1"/>
  <c r="N11" i="1"/>
  <c r="N12" i="1"/>
  <c r="N13" i="1"/>
  <c r="N14" i="1"/>
  <c r="N15" i="1"/>
  <c r="N16" i="1"/>
  <c r="E16" i="15" s="1"/>
  <c r="N17" i="1"/>
  <c r="N18" i="1"/>
  <c r="N19" i="1"/>
  <c r="N20" i="1"/>
  <c r="E20" i="15" s="1"/>
  <c r="N21" i="1"/>
  <c r="N22" i="1"/>
  <c r="N23" i="1"/>
  <c r="N24" i="1"/>
  <c r="E24" i="15" s="1"/>
  <c r="N25" i="1"/>
  <c r="N26" i="1"/>
  <c r="N27" i="1"/>
  <c r="N28" i="1"/>
  <c r="E28" i="15" s="1"/>
  <c r="N8" i="1"/>
  <c r="N9" i="21"/>
  <c r="N10" i="21"/>
  <c r="N11" i="21"/>
  <c r="N12" i="21"/>
  <c r="N13" i="21"/>
  <c r="N14" i="21"/>
  <c r="N15" i="21"/>
  <c r="N16" i="21"/>
  <c r="D16" i="15" s="1"/>
  <c r="N17" i="21"/>
  <c r="N18" i="21"/>
  <c r="N19" i="21"/>
  <c r="N20" i="21"/>
  <c r="D20" i="15" s="1"/>
  <c r="N21" i="21"/>
  <c r="N22" i="21"/>
  <c r="N23" i="21"/>
  <c r="N24" i="21"/>
  <c r="D24" i="15" s="1"/>
  <c r="N25" i="21"/>
  <c r="N26" i="21"/>
  <c r="N27" i="21"/>
  <c r="N28" i="21"/>
  <c r="D28" i="15" s="1"/>
  <c r="N8" i="21"/>
  <c r="L15" i="15"/>
  <c r="L17" i="15"/>
  <c r="L18" i="15"/>
  <c r="L19" i="15"/>
  <c r="L21" i="15"/>
  <c r="L22" i="15"/>
  <c r="L23" i="15"/>
  <c r="L25" i="15"/>
  <c r="L26" i="15"/>
  <c r="L27" i="15"/>
  <c r="K15" i="15"/>
  <c r="K17" i="15"/>
  <c r="K19" i="15"/>
  <c r="K21" i="15"/>
  <c r="K22" i="15"/>
  <c r="K23" i="15"/>
  <c r="K24" i="15"/>
  <c r="K25" i="15"/>
  <c r="K26" i="15"/>
  <c r="K27" i="15"/>
  <c r="K28" i="15"/>
  <c r="J15" i="15"/>
  <c r="J17" i="15"/>
  <c r="J18" i="15"/>
  <c r="J19" i="15"/>
  <c r="J21" i="15"/>
  <c r="J22" i="15"/>
  <c r="J23" i="15"/>
  <c r="J25" i="15"/>
  <c r="J26" i="15"/>
  <c r="J27" i="15"/>
  <c r="J28" i="15"/>
  <c r="I15" i="15"/>
  <c r="I17" i="15"/>
  <c r="I18" i="15"/>
  <c r="I19" i="15"/>
  <c r="I21" i="15"/>
  <c r="I22" i="15"/>
  <c r="I23" i="15"/>
  <c r="I25" i="15"/>
  <c r="I26" i="15"/>
  <c r="I27" i="15"/>
  <c r="H15" i="15"/>
  <c r="H17" i="15"/>
  <c r="H18" i="15"/>
  <c r="H19" i="15"/>
  <c r="H21" i="15"/>
  <c r="H22" i="15"/>
  <c r="H23" i="15"/>
  <c r="H25" i="15"/>
  <c r="H26" i="15"/>
  <c r="H27" i="15"/>
  <c r="G15" i="15"/>
  <c r="G17" i="15"/>
  <c r="G19" i="15"/>
  <c r="G21" i="15"/>
  <c r="G23" i="15"/>
  <c r="G25" i="15"/>
  <c r="G27" i="15"/>
  <c r="F15" i="15"/>
  <c r="F17" i="15"/>
  <c r="F19" i="15"/>
  <c r="F21" i="15"/>
  <c r="F23" i="15"/>
  <c r="F25" i="15"/>
  <c r="F27" i="15"/>
  <c r="E15" i="15"/>
  <c r="E17" i="15"/>
  <c r="E18" i="15"/>
  <c r="E19" i="15"/>
  <c r="E21" i="15"/>
  <c r="E22" i="15"/>
  <c r="E23" i="15"/>
  <c r="E25" i="15"/>
  <c r="E26" i="15"/>
  <c r="E27" i="15"/>
  <c r="D17" i="15"/>
  <c r="D18" i="15"/>
  <c r="D19" i="15"/>
  <c r="D21" i="15"/>
  <c r="D22" i="15"/>
  <c r="D23" i="15"/>
  <c r="D25" i="15"/>
  <c r="D26" i="15"/>
  <c r="D27" i="15"/>
  <c r="C5" i="11"/>
  <c r="C4" i="11"/>
  <c r="B5" i="11"/>
  <c r="B4" i="11"/>
  <c r="K30" i="26"/>
  <c r="Q28" i="26"/>
  <c r="Q27" i="26"/>
  <c r="Q26" i="26"/>
  <c r="Q25" i="26"/>
  <c r="Q24" i="26"/>
  <c r="Q23" i="26"/>
  <c r="Q22" i="26"/>
  <c r="Q21" i="26"/>
  <c r="Q20" i="26"/>
  <c r="Q19" i="26"/>
  <c r="Q18" i="26"/>
  <c r="Q17" i="26"/>
  <c r="Q16" i="26"/>
  <c r="Q15" i="26"/>
  <c r="Q14" i="26"/>
  <c r="Q13" i="26"/>
  <c r="Q12" i="26"/>
  <c r="Q11" i="26"/>
  <c r="Q10" i="26"/>
  <c r="Q9" i="26"/>
  <c r="C9" i="26"/>
  <c r="B9" i="26"/>
  <c r="Q8" i="26"/>
  <c r="C8" i="26"/>
  <c r="B8" i="26"/>
  <c r="K30" i="25"/>
  <c r="T28" i="25"/>
  <c r="T27" i="25"/>
  <c r="T26" i="25"/>
  <c r="T25" i="25"/>
  <c r="T24" i="25"/>
  <c r="T23" i="25"/>
  <c r="T22" i="25"/>
  <c r="T21" i="25"/>
  <c r="T20" i="25"/>
  <c r="T19" i="25"/>
  <c r="T18" i="25"/>
  <c r="T17" i="25"/>
  <c r="T16" i="25"/>
  <c r="T15" i="25"/>
  <c r="T14" i="25"/>
  <c r="T13" i="25"/>
  <c r="T12" i="25"/>
  <c r="T11" i="25"/>
  <c r="T10" i="25"/>
  <c r="T9" i="25"/>
  <c r="C9" i="25"/>
  <c r="B9" i="25"/>
  <c r="T8" i="25"/>
  <c r="C8" i="25"/>
  <c r="B8" i="25"/>
  <c r="C9" i="4"/>
  <c r="B9" i="4"/>
  <c r="C8" i="4"/>
  <c r="B8" i="4"/>
  <c r="C9" i="3"/>
  <c r="B9" i="3"/>
  <c r="C8" i="3"/>
  <c r="B8" i="3"/>
  <c r="C9" i="24"/>
  <c r="B9" i="24"/>
  <c r="C8" i="24"/>
  <c r="B8" i="24"/>
  <c r="K30" i="24"/>
  <c r="T28" i="24"/>
  <c r="T27" i="24"/>
  <c r="T26" i="24"/>
  <c r="T25" i="24"/>
  <c r="T24" i="24"/>
  <c r="T23" i="24"/>
  <c r="T22" i="24"/>
  <c r="T21" i="24"/>
  <c r="T20" i="24"/>
  <c r="T19" i="24"/>
  <c r="T18" i="24"/>
  <c r="T17" i="24"/>
  <c r="T16" i="24"/>
  <c r="T15" i="24"/>
  <c r="T14" i="24"/>
  <c r="T13" i="24"/>
  <c r="T12" i="24"/>
  <c r="T11" i="24"/>
  <c r="T10" i="24"/>
  <c r="T9" i="24"/>
  <c r="T8" i="24"/>
  <c r="C9" i="5"/>
  <c r="B9" i="5"/>
  <c r="C8" i="5"/>
  <c r="B8" i="5"/>
  <c r="C9" i="1"/>
  <c r="B9" i="1"/>
  <c r="C8" i="1"/>
  <c r="B8" i="1"/>
  <c r="C9" i="21"/>
  <c r="B9" i="21"/>
  <c r="C8" i="21"/>
  <c r="B8" i="21"/>
  <c r="C9" i="15"/>
  <c r="B9" i="15"/>
  <c r="C8" i="15"/>
  <c r="B8" i="15"/>
  <c r="C9" i="22"/>
  <c r="C8" i="22"/>
  <c r="B8" i="22"/>
  <c r="B9" i="22"/>
  <c r="K30" i="22"/>
  <c r="S28" i="22"/>
  <c r="S27" i="22"/>
  <c r="S26" i="22"/>
  <c r="S25" i="22"/>
  <c r="S24" i="22"/>
  <c r="S23" i="22"/>
  <c r="S22" i="22"/>
  <c r="S21" i="22"/>
  <c r="S20" i="22"/>
  <c r="S19" i="22"/>
  <c r="S18" i="22"/>
  <c r="S17" i="22"/>
  <c r="S16" i="22"/>
  <c r="S15" i="22"/>
  <c r="S14" i="22"/>
  <c r="S13" i="22"/>
  <c r="S12" i="22"/>
  <c r="S11" i="22"/>
  <c r="S10" i="22"/>
  <c r="S9" i="22"/>
  <c r="S8" i="22"/>
  <c r="K120" i="21"/>
  <c r="S118" i="21"/>
  <c r="S117" i="21"/>
  <c r="S116" i="21"/>
  <c r="S115" i="21"/>
  <c r="S114" i="21"/>
  <c r="S113" i="21"/>
  <c r="S112" i="21"/>
  <c r="S111" i="21"/>
  <c r="S110" i="21"/>
  <c r="S109" i="21"/>
  <c r="S108" i="21"/>
  <c r="S107" i="21"/>
  <c r="S106" i="21"/>
  <c r="S105" i="21"/>
  <c r="B105" i="21"/>
  <c r="S104" i="21"/>
  <c r="B104" i="21"/>
  <c r="S103" i="21"/>
  <c r="B103" i="21"/>
  <c r="S102" i="21"/>
  <c r="B102" i="21"/>
  <c r="S101" i="21"/>
  <c r="B101" i="21"/>
  <c r="S100" i="21"/>
  <c r="B100" i="21"/>
  <c r="S99" i="21"/>
  <c r="B99" i="21"/>
  <c r="S98" i="21"/>
  <c r="B98" i="21"/>
  <c r="J75" i="21"/>
  <c r="Q73" i="21"/>
  <c r="Q72" i="21"/>
  <c r="Q71" i="21"/>
  <c r="Q70" i="21"/>
  <c r="Q69" i="21"/>
  <c r="Q68" i="21"/>
  <c r="Q67" i="21"/>
  <c r="Q66" i="21"/>
  <c r="Q65" i="21"/>
  <c r="Q64" i="21"/>
  <c r="Q63" i="21"/>
  <c r="Q62" i="21"/>
  <c r="Q61" i="21"/>
  <c r="Q60" i="21"/>
  <c r="Q59" i="21"/>
  <c r="Q58" i="21"/>
  <c r="Q57" i="21"/>
  <c r="Q56" i="21"/>
  <c r="Q55" i="21"/>
  <c r="Q54" i="21"/>
  <c r="Q53" i="21"/>
  <c r="K30" i="21"/>
  <c r="Q28" i="21"/>
  <c r="Q27" i="21"/>
  <c r="Q26" i="21"/>
  <c r="Q25" i="21"/>
  <c r="Q24" i="21"/>
  <c r="Q23" i="21"/>
  <c r="Q22" i="21"/>
  <c r="Q21" i="21"/>
  <c r="Q20" i="21"/>
  <c r="Q19" i="21"/>
  <c r="Q18" i="21"/>
  <c r="Q17" i="21"/>
  <c r="Q16" i="21"/>
  <c r="Q15" i="21"/>
  <c r="Q14" i="21"/>
  <c r="Q13" i="21"/>
  <c r="Q12" i="21"/>
  <c r="Q11" i="21"/>
  <c r="Q10" i="21"/>
  <c r="Q9" i="21"/>
  <c r="Q8" i="21"/>
  <c r="D28" i="13"/>
  <c r="N50" i="27" l="1"/>
  <c r="N12" i="27"/>
  <c r="N45" i="27"/>
  <c r="F50" i="27"/>
  <c r="N48" i="27"/>
  <c r="N49" i="27"/>
  <c r="N46" i="27"/>
  <c r="N47" i="27"/>
  <c r="H44" i="27"/>
  <c r="N44" i="27"/>
  <c r="N55" i="27"/>
  <c r="N59" i="27"/>
  <c r="N63" i="27"/>
  <c r="N58" i="27"/>
  <c r="N62" i="27"/>
  <c r="N54" i="27"/>
  <c r="N51" i="27"/>
  <c r="N15" i="27"/>
  <c r="E53" i="27"/>
  <c r="N53" i="27" s="1"/>
  <c r="E57" i="27"/>
  <c r="N57" i="27" s="1"/>
  <c r="E61" i="27"/>
  <c r="N61" i="27" s="1"/>
  <c r="N16" i="27"/>
  <c r="N19" i="27"/>
  <c r="N20" i="27"/>
  <c r="N23" i="27"/>
  <c r="N24" i="27"/>
  <c r="N27" i="27"/>
  <c r="N28" i="27"/>
  <c r="A5" i="12"/>
  <c r="N15" i="15"/>
  <c r="N8" i="15"/>
  <c r="N26" i="15"/>
  <c r="N21" i="15"/>
  <c r="N10" i="15"/>
  <c r="N25" i="15"/>
  <c r="N14" i="15"/>
  <c r="N9" i="15"/>
  <c r="N13" i="15"/>
  <c r="N18" i="15"/>
  <c r="N22" i="15"/>
  <c r="N17" i="15"/>
  <c r="N19" i="15"/>
  <c r="N23" i="15"/>
  <c r="N27" i="15"/>
  <c r="N11" i="15"/>
  <c r="F25" i="18" s="1"/>
  <c r="N28" i="15"/>
  <c r="N24" i="15"/>
  <c r="N20" i="15"/>
  <c r="N16" i="15"/>
  <c r="N12" i="15"/>
  <c r="E48" i="15"/>
  <c r="E50" i="15"/>
  <c r="E53" i="15"/>
  <c r="E64" i="15"/>
  <c r="F44" i="15"/>
  <c r="G44" i="15"/>
  <c r="K44" i="15"/>
  <c r="F45" i="15"/>
  <c r="G45" i="15"/>
  <c r="K45" i="15"/>
  <c r="G46" i="15"/>
  <c r="I46" i="15"/>
  <c r="K46" i="15"/>
  <c r="F47" i="15"/>
  <c r="L47" i="15"/>
  <c r="F48" i="15"/>
  <c r="G48" i="15"/>
  <c r="I48" i="15"/>
  <c r="F49" i="15"/>
  <c r="G49" i="15"/>
  <c r="K49" i="15"/>
  <c r="L49" i="15"/>
  <c r="F50" i="15"/>
  <c r="K50" i="15"/>
  <c r="G51" i="15"/>
  <c r="I51" i="15"/>
  <c r="K51" i="15"/>
  <c r="G52" i="15"/>
  <c r="I52" i="15"/>
  <c r="K52" i="15"/>
  <c r="F53" i="15"/>
  <c r="G53" i="15"/>
  <c r="K53" i="15"/>
  <c r="F54" i="15"/>
  <c r="G54" i="15"/>
  <c r="I54" i="15"/>
  <c r="F55" i="15"/>
  <c r="G55" i="15"/>
  <c r="K55" i="15"/>
  <c r="L55" i="15"/>
  <c r="G56" i="15"/>
  <c r="I56" i="15"/>
  <c r="K56" i="15"/>
  <c r="F57" i="15"/>
  <c r="G57" i="15"/>
  <c r="I57" i="15"/>
  <c r="K57" i="15"/>
  <c r="G58" i="15"/>
  <c r="K58" i="15"/>
  <c r="G59" i="15"/>
  <c r="L59" i="15"/>
  <c r="G61" i="15"/>
  <c r="G62" i="15"/>
  <c r="K62" i="15"/>
  <c r="L62" i="15"/>
  <c r="G63" i="15"/>
  <c r="K63" i="15"/>
  <c r="L63" i="15"/>
  <c r="F64" i="15"/>
  <c r="G64" i="15"/>
  <c r="I64" i="15"/>
  <c r="K64" i="15"/>
  <c r="L64" i="15"/>
  <c r="D44" i="15"/>
  <c r="D46" i="15"/>
  <c r="D47" i="15"/>
  <c r="D48" i="15"/>
  <c r="D51" i="15"/>
  <c r="D52" i="15"/>
  <c r="D54" i="15"/>
  <c r="D55" i="15"/>
  <c r="D56" i="15"/>
  <c r="D59" i="15"/>
  <c r="D62" i="15"/>
  <c r="D63" i="15"/>
  <c r="D64" i="15"/>
  <c r="F52" i="15"/>
  <c r="F56" i="15"/>
  <c r="G50" i="15"/>
  <c r="K54" i="15"/>
  <c r="E45" i="15"/>
  <c r="E46" i="15"/>
  <c r="D45" i="15"/>
  <c r="I45" i="15"/>
  <c r="F46" i="15"/>
  <c r="L46" i="15"/>
  <c r="E47" i="15"/>
  <c r="G47" i="15"/>
  <c r="K48" i="15"/>
  <c r="L48" i="15"/>
  <c r="D49" i="15"/>
  <c r="E49" i="15"/>
  <c r="I49" i="15"/>
  <c r="D50" i="15"/>
  <c r="I50" i="15"/>
  <c r="L50" i="15"/>
  <c r="F51" i="15"/>
  <c r="L51" i="15"/>
  <c r="E52" i="15"/>
  <c r="L52" i="15"/>
  <c r="D53" i="15"/>
  <c r="I53" i="15"/>
  <c r="L53" i="15"/>
  <c r="E54" i="15"/>
  <c r="L54" i="15"/>
  <c r="E55" i="15"/>
  <c r="I55" i="15"/>
  <c r="E56" i="15"/>
  <c r="L56" i="15"/>
  <c r="D57" i="15"/>
  <c r="L57" i="15"/>
  <c r="D58" i="15"/>
  <c r="F58" i="15"/>
  <c r="I58" i="15"/>
  <c r="L58" i="15"/>
  <c r="E59" i="15"/>
  <c r="F59" i="15"/>
  <c r="K59" i="15"/>
  <c r="E60" i="15"/>
  <c r="K60" i="15"/>
  <c r="L60" i="15"/>
  <c r="D61" i="15"/>
  <c r="E61" i="15"/>
  <c r="F61" i="15"/>
  <c r="I61" i="15"/>
  <c r="K61" i="15"/>
  <c r="L61" i="15"/>
  <c r="F62" i="15"/>
  <c r="E63" i="15"/>
  <c r="F63" i="15"/>
  <c r="I63" i="15"/>
  <c r="E44" i="15"/>
  <c r="L44" i="15"/>
  <c r="K66" i="15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98" i="1"/>
  <c r="K47" i="15"/>
  <c r="Q53" i="1"/>
  <c r="Q54" i="1"/>
  <c r="Q55" i="1"/>
  <c r="Q56" i="1"/>
  <c r="Q57" i="1"/>
  <c r="Q58" i="1"/>
  <c r="Q59" i="1"/>
  <c r="Q60" i="1"/>
  <c r="E51" i="15" s="1"/>
  <c r="Q61" i="1"/>
  <c r="Q62" i="1"/>
  <c r="Q63" i="1"/>
  <c r="Q64" i="1"/>
  <c r="Q65" i="1"/>
  <c r="Q66" i="1"/>
  <c r="E57" i="15" s="1"/>
  <c r="Q67" i="1"/>
  <c r="Q68" i="1"/>
  <c r="Q69" i="1"/>
  <c r="Q70" i="1"/>
  <c r="Q71" i="1"/>
  <c r="E62" i="15" s="1"/>
  <c r="Q72" i="1"/>
  <c r="Q73" i="1"/>
  <c r="E58" i="15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8" i="3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8" i="4"/>
  <c r="J44" i="15" s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8" i="1"/>
  <c r="O15" i="27" l="1"/>
  <c r="O14" i="27"/>
  <c r="O13" i="27"/>
  <c r="O12" i="27"/>
  <c r="O11" i="27"/>
  <c r="O10" i="27"/>
  <c r="O9" i="27"/>
  <c r="O8" i="27"/>
  <c r="O12" i="15"/>
  <c r="O8" i="15"/>
  <c r="O14" i="15"/>
  <c r="O11" i="15"/>
  <c r="O9" i="15"/>
  <c r="O13" i="15"/>
  <c r="O10" i="15"/>
  <c r="O15" i="15"/>
  <c r="B10" i="26"/>
  <c r="C10" i="4"/>
  <c r="C10" i="3"/>
  <c r="C10" i="5"/>
  <c r="C10" i="1"/>
  <c r="B11" i="21"/>
  <c r="B10" i="15"/>
  <c r="B10" i="22"/>
  <c r="B10" i="1"/>
  <c r="C10" i="21"/>
  <c r="C10" i="25"/>
  <c r="B10" i="4"/>
  <c r="B10" i="3"/>
  <c r="C10" i="24"/>
  <c r="B10" i="5"/>
  <c r="C11" i="24"/>
  <c r="C10" i="15"/>
  <c r="C6" i="11"/>
  <c r="B6" i="11"/>
  <c r="B10" i="25"/>
  <c r="C11" i="3"/>
  <c r="B10" i="24"/>
  <c r="B10" i="21"/>
  <c r="C10" i="22"/>
  <c r="A6" i="12"/>
  <c r="B11" i="1" s="1"/>
  <c r="C7" i="11"/>
  <c r="C10" i="26"/>
  <c r="B11" i="25"/>
  <c r="C11" i="21"/>
  <c r="G60" i="15"/>
  <c r="J46" i="15"/>
  <c r="J59" i="15"/>
  <c r="J54" i="15"/>
  <c r="J55" i="15"/>
  <c r="F60" i="15"/>
  <c r="J64" i="15"/>
  <c r="J48" i="15"/>
  <c r="J56" i="15"/>
  <c r="J62" i="15"/>
  <c r="J58" i="15"/>
  <c r="J52" i="15"/>
  <c r="J50" i="15"/>
  <c r="J47" i="15"/>
  <c r="J45" i="15"/>
  <c r="J61" i="15"/>
  <c r="J57" i="15"/>
  <c r="J49" i="15"/>
  <c r="J63" i="15"/>
  <c r="J53" i="15"/>
  <c r="D60" i="15"/>
  <c r="J51" i="15"/>
  <c r="I62" i="15"/>
  <c r="I59" i="15"/>
  <c r="I47" i="15"/>
  <c r="I44" i="15"/>
  <c r="B11" i="3" l="1"/>
  <c r="B11" i="26"/>
  <c r="C11" i="5"/>
  <c r="B11" i="4"/>
  <c r="A7" i="12"/>
  <c r="B12" i="15"/>
  <c r="C12" i="22"/>
  <c r="C12" i="5"/>
  <c r="C12" i="24"/>
  <c r="C12" i="21"/>
  <c r="C12" i="15"/>
  <c r="B12" i="24"/>
  <c r="B12" i="25"/>
  <c r="B12" i="3"/>
  <c r="B12" i="21"/>
  <c r="B12" i="5"/>
  <c r="B8" i="11"/>
  <c r="C12" i="1"/>
  <c r="C12" i="3"/>
  <c r="B12" i="26"/>
  <c r="C12" i="26"/>
  <c r="C11" i="1"/>
  <c r="C11" i="4"/>
  <c r="C11" i="22"/>
  <c r="B7" i="11"/>
  <c r="B11" i="15"/>
  <c r="C11" i="25"/>
  <c r="B11" i="5"/>
  <c r="B11" i="22"/>
  <c r="C11" i="15"/>
  <c r="B11" i="24"/>
  <c r="C11" i="26"/>
  <c r="J60" i="15"/>
  <c r="I60" i="15"/>
  <c r="A8" i="12" l="1"/>
  <c r="C13" i="15"/>
  <c r="B13" i="26"/>
  <c r="C13" i="5"/>
  <c r="B13" i="5"/>
  <c r="B13" i="15"/>
  <c r="C13" i="21"/>
  <c r="B13" i="22"/>
  <c r="C13" i="24"/>
  <c r="C13" i="25"/>
  <c r="C13" i="1"/>
  <c r="C13" i="22"/>
  <c r="C13" i="4"/>
  <c r="C13" i="26"/>
  <c r="B13" i="4"/>
  <c r="C13" i="3"/>
  <c r="B13" i="1"/>
  <c r="B13" i="21"/>
  <c r="B13" i="25"/>
  <c r="B13" i="3"/>
  <c r="B13" i="24"/>
  <c r="B12" i="1"/>
  <c r="C8" i="11"/>
  <c r="B12" i="4"/>
  <c r="C12" i="25"/>
  <c r="B12" i="22"/>
  <c r="C12" i="4"/>
  <c r="B14" i="22" l="1"/>
  <c r="C14" i="4"/>
  <c r="A9" i="12"/>
  <c r="C14" i="3" s="1"/>
  <c r="B14" i="15"/>
  <c r="C14" i="1"/>
  <c r="C14" i="5"/>
  <c r="B14" i="3"/>
  <c r="C14" i="21"/>
  <c r="B14" i="5"/>
  <c r="B14" i="1"/>
  <c r="B14" i="25"/>
  <c r="B9" i="11"/>
  <c r="C9" i="11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8" i="5"/>
  <c r="U11" i="3"/>
  <c r="B10" i="11" l="1"/>
  <c r="C14" i="22"/>
  <c r="B14" i="24"/>
  <c r="B14" i="4"/>
  <c r="C14" i="26"/>
  <c r="A10" i="12"/>
  <c r="C10" i="11"/>
  <c r="C15" i="25"/>
  <c r="B14" i="21"/>
  <c r="C14" i="25"/>
  <c r="C14" i="24"/>
  <c r="C14" i="15"/>
  <c r="B14" i="26"/>
  <c r="H62" i="15"/>
  <c r="N62" i="15" s="1"/>
  <c r="H54" i="15"/>
  <c r="N54" i="15" s="1"/>
  <c r="H46" i="15"/>
  <c r="N46" i="15" s="1"/>
  <c r="H44" i="15"/>
  <c r="N44" i="15" s="1"/>
  <c r="H64" i="15"/>
  <c r="N64" i="15" s="1"/>
  <c r="H59" i="15"/>
  <c r="N59" i="15" s="1"/>
  <c r="H58" i="15"/>
  <c r="N58" i="15" s="1"/>
  <c r="L45" i="15"/>
  <c r="S26" i="5"/>
  <c r="S28" i="5"/>
  <c r="S22" i="5"/>
  <c r="S10" i="5"/>
  <c r="S18" i="5"/>
  <c r="S14" i="5"/>
  <c r="S12" i="5"/>
  <c r="S20" i="5"/>
  <c r="S16" i="5"/>
  <c r="S24" i="5"/>
  <c r="S11" i="5"/>
  <c r="S15" i="5"/>
  <c r="S19" i="5"/>
  <c r="S23" i="5"/>
  <c r="S8" i="5"/>
  <c r="S9" i="5"/>
  <c r="S13" i="5"/>
  <c r="S17" i="5"/>
  <c r="S21" i="5"/>
  <c r="S25" i="5"/>
  <c r="S27" i="5"/>
  <c r="A11" i="12" l="1"/>
  <c r="C15" i="3"/>
  <c r="B15" i="1"/>
  <c r="B15" i="24"/>
  <c r="B15" i="4"/>
  <c r="B15" i="5"/>
  <c r="C15" i="4"/>
  <c r="C15" i="5"/>
  <c r="B15" i="22"/>
  <c r="C15" i="1"/>
  <c r="C15" i="24"/>
  <c r="C15" i="21"/>
  <c r="B15" i="25"/>
  <c r="B15" i="26"/>
  <c r="C15" i="26"/>
  <c r="C16" i="4"/>
  <c r="C16" i="26"/>
  <c r="C16" i="5"/>
  <c r="C12" i="11"/>
  <c r="C16" i="25"/>
  <c r="C16" i="3"/>
  <c r="C15" i="22"/>
  <c r="B15" i="15"/>
  <c r="B51" i="15" s="1"/>
  <c r="B15" i="3"/>
  <c r="B12" i="11"/>
  <c r="B16" i="24"/>
  <c r="B16" i="5"/>
  <c r="B16" i="22"/>
  <c r="B16" i="15"/>
  <c r="B52" i="15" s="1"/>
  <c r="C11" i="11"/>
  <c r="C15" i="15"/>
  <c r="B16" i="21"/>
  <c r="C16" i="15"/>
  <c r="B11" i="11"/>
  <c r="C16" i="1"/>
  <c r="B16" i="1"/>
  <c r="C16" i="21"/>
  <c r="B16" i="4"/>
  <c r="B15" i="21"/>
  <c r="H55" i="15"/>
  <c r="N55" i="15" s="1"/>
  <c r="H56" i="15"/>
  <c r="N56" i="15" s="1"/>
  <c r="H53" i="15"/>
  <c r="N53" i="15" s="1"/>
  <c r="H63" i="15"/>
  <c r="N63" i="15" s="1"/>
  <c r="H47" i="15"/>
  <c r="N47" i="15" s="1"/>
  <c r="H48" i="15"/>
  <c r="N48" i="15" s="1"/>
  <c r="H45" i="15"/>
  <c r="N45" i="15" s="1"/>
  <c r="H61" i="15"/>
  <c r="N61" i="15" s="1"/>
  <c r="H52" i="15"/>
  <c r="N52" i="15" s="1"/>
  <c r="H49" i="15"/>
  <c r="N49" i="15" s="1"/>
  <c r="H50" i="15"/>
  <c r="N50" i="15" s="1"/>
  <c r="H57" i="15"/>
  <c r="N57" i="15" s="1"/>
  <c r="H51" i="15"/>
  <c r="N51" i="15" s="1"/>
  <c r="K30" i="15"/>
  <c r="B50" i="15"/>
  <c r="B49" i="15"/>
  <c r="B48" i="15"/>
  <c r="B47" i="15"/>
  <c r="B46" i="15"/>
  <c r="B45" i="15"/>
  <c r="B44" i="15"/>
  <c r="A12" i="12" l="1"/>
  <c r="C13" i="11"/>
  <c r="B16" i="26"/>
  <c r="C16" i="24"/>
  <c r="B16" i="25"/>
  <c r="B16" i="3"/>
  <c r="C16" i="22"/>
  <c r="H60" i="15"/>
  <c r="N60" i="15" s="1"/>
  <c r="C17" i="4" l="1"/>
  <c r="A13" i="12"/>
  <c r="B17" i="15"/>
  <c r="B53" i="15" s="1"/>
  <c r="C17" i="26"/>
  <c r="B17" i="22"/>
  <c r="C17" i="24"/>
  <c r="C17" i="3"/>
  <c r="C17" i="1"/>
  <c r="B13" i="11"/>
  <c r="C17" i="5"/>
  <c r="B17" i="21"/>
  <c r="B17" i="4"/>
  <c r="C17" i="15"/>
  <c r="B17" i="1"/>
  <c r="B17" i="3"/>
  <c r="B17" i="25"/>
  <c r="C17" i="22"/>
  <c r="B17" i="26"/>
  <c r="C14" i="11"/>
  <c r="B14" i="11"/>
  <c r="C17" i="25"/>
  <c r="B17" i="24"/>
  <c r="B17" i="5"/>
  <c r="B18" i="4"/>
  <c r="C18" i="26"/>
  <c r="B18" i="25"/>
  <c r="C18" i="24"/>
  <c r="C17" i="21"/>
  <c r="I5" i="13"/>
  <c r="J5" i="13"/>
  <c r="K5" i="13"/>
  <c r="L5" i="13"/>
  <c r="M5" i="13"/>
  <c r="N5" i="13"/>
  <c r="O5" i="13"/>
  <c r="H5" i="13"/>
  <c r="P5" i="13"/>
  <c r="Q5" i="13"/>
  <c r="K30" i="5"/>
  <c r="K30" i="4"/>
  <c r="K29" i="3"/>
  <c r="L29" i="3" s="1"/>
  <c r="J75" i="1"/>
  <c r="K120" i="1"/>
  <c r="K30" i="1"/>
  <c r="A14" i="12" l="1"/>
  <c r="C18" i="25"/>
  <c r="B18" i="5"/>
  <c r="C18" i="15"/>
  <c r="C18" i="3"/>
  <c r="B18" i="3"/>
  <c r="B15" i="11"/>
  <c r="B18" i="21"/>
  <c r="C18" i="21"/>
  <c r="C18" i="1"/>
  <c r="B18" i="1"/>
  <c r="B18" i="15"/>
  <c r="B54" i="15" s="1"/>
  <c r="B18" i="26"/>
  <c r="B18" i="22"/>
  <c r="C18" i="22"/>
  <c r="C18" i="5"/>
  <c r="B18" i="24"/>
  <c r="C18" i="4"/>
  <c r="K43" i="10"/>
  <c r="C41" i="10"/>
  <c r="B41" i="10"/>
  <c r="C40" i="10"/>
  <c r="B40" i="10"/>
  <c r="C39" i="10"/>
  <c r="B39" i="10"/>
  <c r="C38" i="10"/>
  <c r="B38" i="10"/>
  <c r="C37" i="10"/>
  <c r="B37" i="10"/>
  <c r="C36" i="10"/>
  <c r="B36" i="10"/>
  <c r="C35" i="10"/>
  <c r="B35" i="10"/>
  <c r="C34" i="10"/>
  <c r="B34" i="10"/>
  <c r="C33" i="10"/>
  <c r="B33" i="10"/>
  <c r="C29" i="10"/>
  <c r="B29" i="10"/>
  <c r="C28" i="10"/>
  <c r="B28" i="10"/>
  <c r="C27" i="10"/>
  <c r="B27" i="10"/>
  <c r="C26" i="10"/>
  <c r="B26" i="10"/>
  <c r="C25" i="10"/>
  <c r="B25" i="10"/>
  <c r="C24" i="10"/>
  <c r="B24" i="10"/>
  <c r="C23" i="10"/>
  <c r="B23" i="10"/>
  <c r="C22" i="10"/>
  <c r="B22" i="10"/>
  <c r="C21" i="10"/>
  <c r="B21" i="10"/>
  <c r="C20" i="10"/>
  <c r="B20" i="10"/>
  <c r="C19" i="10"/>
  <c r="B19" i="10"/>
  <c r="C18" i="10"/>
  <c r="B18" i="10"/>
  <c r="C17" i="10"/>
  <c r="B17" i="10"/>
  <c r="C16" i="10"/>
  <c r="B16" i="10"/>
  <c r="C15" i="10"/>
  <c r="B15" i="10"/>
  <c r="C14" i="10"/>
  <c r="B14" i="10"/>
  <c r="C13" i="10"/>
  <c r="B13" i="10"/>
  <c r="C12" i="10"/>
  <c r="B12" i="10"/>
  <c r="C11" i="10"/>
  <c r="B11" i="10"/>
  <c r="C10" i="10"/>
  <c r="B10" i="10"/>
  <c r="C9" i="10"/>
  <c r="B9" i="10"/>
  <c r="C8" i="10"/>
  <c r="B8" i="10"/>
  <c r="A15" i="12" l="1"/>
  <c r="B19" i="21"/>
  <c r="B19" i="4"/>
  <c r="C19" i="1"/>
  <c r="C19" i="5"/>
  <c r="C19" i="22"/>
  <c r="B16" i="11"/>
  <c r="C19" i="26"/>
  <c r="B19" i="1"/>
  <c r="B19" i="22"/>
  <c r="C19" i="15"/>
  <c r="C19" i="3"/>
  <c r="C15" i="11"/>
  <c r="C19" i="4"/>
  <c r="B19" i="26"/>
  <c r="B19" i="24"/>
  <c r="B19" i="3"/>
  <c r="B19" i="25"/>
  <c r="B19" i="5"/>
  <c r="C19" i="25"/>
  <c r="C16" i="11"/>
  <c r="B19" i="15"/>
  <c r="B55" i="15" s="1"/>
  <c r="C19" i="24"/>
  <c r="C19" i="21"/>
  <c r="K43" i="9"/>
  <c r="C41" i="9"/>
  <c r="B41" i="9"/>
  <c r="C40" i="9"/>
  <c r="B40" i="9"/>
  <c r="C39" i="9"/>
  <c r="B39" i="9"/>
  <c r="C38" i="9"/>
  <c r="B38" i="9"/>
  <c r="C37" i="9"/>
  <c r="B37" i="9"/>
  <c r="C36" i="9"/>
  <c r="B36" i="9"/>
  <c r="C35" i="9"/>
  <c r="B35" i="9"/>
  <c r="C34" i="9"/>
  <c r="B34" i="9"/>
  <c r="C33" i="9"/>
  <c r="B33" i="9"/>
  <c r="C29" i="9"/>
  <c r="B29" i="9"/>
  <c r="C28" i="9"/>
  <c r="B28" i="9"/>
  <c r="C27" i="9"/>
  <c r="B27" i="9"/>
  <c r="C26" i="9"/>
  <c r="B26" i="9"/>
  <c r="C25" i="9"/>
  <c r="B25" i="9"/>
  <c r="C24" i="9"/>
  <c r="B24" i="9"/>
  <c r="C23" i="9"/>
  <c r="B23" i="9"/>
  <c r="C22" i="9"/>
  <c r="B22" i="9"/>
  <c r="C21" i="9"/>
  <c r="B21" i="9"/>
  <c r="C20" i="9"/>
  <c r="B20" i="9"/>
  <c r="C19" i="9"/>
  <c r="B19" i="9"/>
  <c r="C18" i="9"/>
  <c r="B18" i="9"/>
  <c r="C17" i="9"/>
  <c r="B17" i="9"/>
  <c r="C16" i="9"/>
  <c r="B16" i="9"/>
  <c r="C15" i="9"/>
  <c r="B15" i="9"/>
  <c r="C14" i="9"/>
  <c r="B14" i="9"/>
  <c r="C13" i="9"/>
  <c r="B13" i="9"/>
  <c r="C12" i="9"/>
  <c r="B12" i="9"/>
  <c r="C11" i="9"/>
  <c r="B11" i="9"/>
  <c r="C10" i="9"/>
  <c r="B10" i="9"/>
  <c r="C9" i="9"/>
  <c r="B9" i="9"/>
  <c r="C8" i="9"/>
  <c r="B8" i="9"/>
  <c r="C20" i="25" l="1"/>
  <c r="A16" i="12"/>
  <c r="C20" i="4"/>
  <c r="C20" i="26"/>
  <c r="C20" i="5"/>
  <c r="B20" i="24"/>
  <c r="B20" i="1"/>
  <c r="B20" i="5"/>
  <c r="B20" i="25"/>
  <c r="B20" i="26"/>
  <c r="C20" i="15"/>
  <c r="C20" i="21"/>
  <c r="B20" i="22"/>
  <c r="C20" i="24"/>
  <c r="B20" i="4"/>
  <c r="B20" i="3"/>
  <c r="B20" i="21"/>
  <c r="B20" i="15"/>
  <c r="B56" i="15" s="1"/>
  <c r="C20" i="3"/>
  <c r="C20" i="1"/>
  <c r="B17" i="11"/>
  <c r="C20" i="22"/>
  <c r="D35" i="10"/>
  <c r="N35" i="10" s="1"/>
  <c r="D27" i="10"/>
  <c r="N27" i="10" s="1"/>
  <c r="B21" i="5" l="1"/>
  <c r="A17" i="12"/>
  <c r="B18" i="11" s="1"/>
  <c r="B21" i="24"/>
  <c r="C21" i="22"/>
  <c r="C21" i="26"/>
  <c r="C17" i="11"/>
  <c r="B21" i="25"/>
  <c r="B21" i="15"/>
  <c r="B57" i="15" s="1"/>
  <c r="C21" i="21"/>
  <c r="B21" i="22"/>
  <c r="C21" i="1"/>
  <c r="B21" i="1"/>
  <c r="C21" i="4"/>
  <c r="C21" i="3"/>
  <c r="B21" i="26"/>
  <c r="C21" i="15"/>
  <c r="B21" i="3"/>
  <c r="C21" i="5"/>
  <c r="C21" i="25"/>
  <c r="B21" i="4"/>
  <c r="C21" i="24"/>
  <c r="B21" i="21"/>
  <c r="D20" i="10"/>
  <c r="N20" i="10" s="1"/>
  <c r="D17" i="10"/>
  <c r="N17" i="10" s="1"/>
  <c r="D18" i="10"/>
  <c r="N18" i="10" s="1"/>
  <c r="D14" i="10"/>
  <c r="N14" i="10" s="1"/>
  <c r="D12" i="10"/>
  <c r="N12" i="10" s="1"/>
  <c r="D29" i="10"/>
  <c r="N29" i="10" s="1"/>
  <c r="D28" i="10"/>
  <c r="N28" i="10" s="1"/>
  <c r="D26" i="10"/>
  <c r="N26" i="10" s="1"/>
  <c r="D10" i="10"/>
  <c r="N10" i="10" s="1"/>
  <c r="D34" i="10"/>
  <c r="N34" i="10" s="1"/>
  <c r="D36" i="10"/>
  <c r="N36" i="10" s="1"/>
  <c r="D38" i="10"/>
  <c r="N38" i="10" s="1"/>
  <c r="D39" i="10"/>
  <c r="N39" i="10" s="1"/>
  <c r="D22" i="10"/>
  <c r="N22" i="10" s="1"/>
  <c r="D15" i="10"/>
  <c r="N15" i="10" s="1"/>
  <c r="D19" i="10"/>
  <c r="N19" i="10" s="1"/>
  <c r="D24" i="10"/>
  <c r="N24" i="10" s="1"/>
  <c r="D25" i="10"/>
  <c r="N25" i="10" s="1"/>
  <c r="D40" i="10"/>
  <c r="N40" i="10" s="1"/>
  <c r="D33" i="10"/>
  <c r="N33" i="10" s="1"/>
  <c r="D37" i="10"/>
  <c r="N37" i="10" s="1"/>
  <c r="D41" i="10"/>
  <c r="N41" i="10" s="1"/>
  <c r="B99" i="1"/>
  <c r="B100" i="1"/>
  <c r="B101" i="1"/>
  <c r="B102" i="1"/>
  <c r="B103" i="1"/>
  <c r="B104" i="1"/>
  <c r="B105" i="1"/>
  <c r="C23" i="3" l="1"/>
  <c r="B22" i="24"/>
  <c r="B23" i="4"/>
  <c r="C18" i="11"/>
  <c r="C22" i="3"/>
  <c r="B22" i="15"/>
  <c r="B58" i="15" s="1"/>
  <c r="B23" i="21"/>
  <c r="C22" i="25"/>
  <c r="C19" i="11"/>
  <c r="B23" i="15"/>
  <c r="B59" i="15" s="1"/>
  <c r="A18" i="12"/>
  <c r="C22" i="15"/>
  <c r="C22" i="24"/>
  <c r="B22" i="22"/>
  <c r="B22" i="5"/>
  <c r="C22" i="4"/>
  <c r="B22" i="26"/>
  <c r="B22" i="21"/>
  <c r="C22" i="26"/>
  <c r="B22" i="25"/>
  <c r="B22" i="1"/>
  <c r="B22" i="4"/>
  <c r="C22" i="21"/>
  <c r="C22" i="22"/>
  <c r="C22" i="1"/>
  <c r="B22" i="3"/>
  <c r="C22" i="5"/>
  <c r="D11" i="10"/>
  <c r="N11" i="10" s="1"/>
  <c r="D16" i="10"/>
  <c r="N16" i="10" s="1"/>
  <c r="D23" i="10"/>
  <c r="N23" i="10" s="1"/>
  <c r="D8" i="10"/>
  <c r="N8" i="10" s="1"/>
  <c r="D9" i="10"/>
  <c r="N9" i="10" s="1"/>
  <c r="D13" i="10"/>
  <c r="N13" i="10" s="1"/>
  <c r="D21" i="10"/>
  <c r="N21" i="10" s="1"/>
  <c r="B98" i="1"/>
  <c r="D22" i="11"/>
  <c r="A19" i="12" l="1"/>
  <c r="C23" i="24"/>
  <c r="C23" i="22"/>
  <c r="C24" i="25"/>
  <c r="B24" i="21"/>
  <c r="C24" i="21"/>
  <c r="C24" i="1"/>
  <c r="B24" i="24"/>
  <c r="B23" i="25"/>
  <c r="B23" i="3"/>
  <c r="B23" i="22"/>
  <c r="C23" i="1"/>
  <c r="C20" i="11"/>
  <c r="C23" i="15"/>
  <c r="B23" i="5"/>
  <c r="C23" i="5"/>
  <c r="B24" i="3"/>
  <c r="C24" i="15"/>
  <c r="C24" i="26"/>
  <c r="C24" i="24"/>
  <c r="B24" i="22"/>
  <c r="B23" i="24"/>
  <c r="B23" i="1"/>
  <c r="C23" i="25"/>
  <c r="C23" i="26"/>
  <c r="C23" i="4"/>
  <c r="B23" i="26"/>
  <c r="C23" i="21"/>
  <c r="B20" i="11"/>
  <c r="D17" i="11"/>
  <c r="D14" i="11"/>
  <c r="D10" i="11"/>
  <c r="D23" i="11"/>
  <c r="D21" i="11"/>
  <c r="D20" i="11"/>
  <c r="D19" i="11"/>
  <c r="D4" i="11"/>
  <c r="D16" i="11"/>
  <c r="D5" i="11"/>
  <c r="D7" i="11"/>
  <c r="D11" i="11"/>
  <c r="D15" i="11"/>
  <c r="D24" i="11"/>
  <c r="D9" i="11"/>
  <c r="D12" i="11"/>
  <c r="D13" i="11"/>
  <c r="D8" i="11"/>
  <c r="D18" i="11"/>
  <c r="D6" i="11"/>
  <c r="C24" i="5" l="1"/>
  <c r="B24" i="25"/>
  <c r="A20" i="12"/>
  <c r="B24" i="1"/>
  <c r="B24" i="26"/>
  <c r="B24" i="4"/>
  <c r="C24" i="4"/>
  <c r="B24" i="5"/>
  <c r="C24" i="22"/>
  <c r="B24" i="15"/>
  <c r="B60" i="15" s="1"/>
  <c r="C24" i="3"/>
  <c r="E22" i="11"/>
  <c r="E11" i="11"/>
  <c r="E5" i="11"/>
  <c r="E20" i="11"/>
  <c r="E6" i="11"/>
  <c r="E4" i="11"/>
  <c r="E19" i="11"/>
  <c r="E21" i="11"/>
  <c r="E23" i="11"/>
  <c r="E14" i="11"/>
  <c r="E17" i="11"/>
  <c r="E13" i="11"/>
  <c r="E18" i="11"/>
  <c r="E7" i="11"/>
  <c r="E8" i="11"/>
  <c r="E9" i="11"/>
  <c r="E24" i="11"/>
  <c r="E12" i="11"/>
  <c r="E16" i="11"/>
  <c r="E10" i="11"/>
  <c r="E15" i="11"/>
  <c r="B25" i="26" l="1"/>
  <c r="A21" i="12"/>
  <c r="B25" i="25"/>
  <c r="C25" i="22"/>
  <c r="C25" i="15"/>
  <c r="B25" i="1"/>
  <c r="B21" i="11"/>
  <c r="B25" i="15"/>
  <c r="B61" i="15" s="1"/>
  <c r="C25" i="1"/>
  <c r="B25" i="5"/>
  <c r="C25" i="3"/>
  <c r="B25" i="3"/>
  <c r="C21" i="11"/>
  <c r="C22" i="11"/>
  <c r="C25" i="21"/>
  <c r="B25" i="4"/>
  <c r="C25" i="4"/>
  <c r="B25" i="24"/>
  <c r="C25" i="24"/>
  <c r="C25" i="5"/>
  <c r="C26" i="26"/>
  <c r="B26" i="5"/>
  <c r="C26" i="25"/>
  <c r="C26" i="24"/>
  <c r="C25" i="25"/>
  <c r="C26" i="15"/>
  <c r="B26" i="15"/>
  <c r="B62" i="15" s="1"/>
  <c r="C26" i="1"/>
  <c r="C26" i="21"/>
  <c r="B26" i="4"/>
  <c r="B25" i="22"/>
  <c r="C25" i="26"/>
  <c r="B25" i="21"/>
  <c r="B19" i="11"/>
  <c r="B22" i="11"/>
  <c r="A22" i="12" l="1"/>
  <c r="B26" i="1"/>
  <c r="B26" i="25"/>
  <c r="B26" i="21"/>
  <c r="C26" i="4"/>
  <c r="B26" i="24"/>
  <c r="C23" i="11"/>
  <c r="C26" i="22"/>
  <c r="B26" i="3"/>
  <c r="B26" i="26"/>
  <c r="B26" i="22"/>
  <c r="C26" i="3"/>
  <c r="C26" i="5"/>
  <c r="A23" i="12" l="1"/>
  <c r="B27" i="4"/>
  <c r="B27" i="24"/>
  <c r="C27" i="3"/>
  <c r="B27" i="15"/>
  <c r="B63" i="15" s="1"/>
  <c r="B27" i="3"/>
  <c r="C27" i="22"/>
  <c r="C27" i="26"/>
  <c r="C27" i="24"/>
  <c r="B27" i="21"/>
  <c r="C27" i="5"/>
  <c r="B27" i="1"/>
  <c r="C27" i="1"/>
  <c r="B23" i="11"/>
  <c r="B27" i="25"/>
  <c r="B27" i="5"/>
  <c r="C27" i="15"/>
  <c r="B27" i="22"/>
  <c r="B27" i="26"/>
  <c r="C27" i="4"/>
  <c r="C27" i="25"/>
  <c r="C27" i="21"/>
  <c r="B28" i="22"/>
  <c r="C28" i="5"/>
  <c r="C28" i="22"/>
  <c r="C28" i="4"/>
  <c r="C28" i="24"/>
  <c r="C28" i="25" l="1"/>
  <c r="A24" i="12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B28" i="5"/>
  <c r="B28" i="24"/>
  <c r="C24" i="11"/>
  <c r="B28" i="21"/>
  <c r="C28" i="21"/>
  <c r="C28" i="15"/>
  <c r="B28" i="4"/>
  <c r="B28" i="26"/>
  <c r="C28" i="26"/>
  <c r="C28" i="3"/>
  <c r="B28" i="3"/>
  <c r="B28" i="15"/>
  <c r="B64" i="15" s="1"/>
  <c r="B28" i="25"/>
  <c r="B24" i="11"/>
  <c r="B28" i="1"/>
  <c r="C28" i="1"/>
</calcChain>
</file>

<file path=xl/sharedStrings.xml><?xml version="1.0" encoding="utf-8"?>
<sst xmlns="http://schemas.openxmlformats.org/spreadsheetml/2006/main" count="705" uniqueCount="238">
  <si>
    <t>DAFTAR NILAI UJIAN AKHIR</t>
  </si>
  <si>
    <t>No</t>
  </si>
  <si>
    <t>Nama</t>
  </si>
  <si>
    <t>Asal RTQ</t>
  </si>
  <si>
    <t>Nilai Catatan Kesalahan</t>
  </si>
  <si>
    <t>Soal Teori</t>
  </si>
  <si>
    <t>Soal Evaluasi Tajwid</t>
  </si>
  <si>
    <t>Total Nilai</t>
  </si>
  <si>
    <t>Keterangan</t>
  </si>
  <si>
    <t>Utsmaniyyah II</t>
  </si>
  <si>
    <t>Penguji</t>
  </si>
  <si>
    <t>……………………………………………..</t>
  </si>
  <si>
    <t>LAJNAH MUROQOBAH YANBU'A LAMPUNG BARAT</t>
  </si>
  <si>
    <t>Materi</t>
  </si>
  <si>
    <t>: Tajwid</t>
  </si>
  <si>
    <t>: Tauhid</t>
  </si>
  <si>
    <t>: Praktik Wudlu</t>
  </si>
  <si>
    <t>Niat</t>
  </si>
  <si>
    <t>Do'a</t>
  </si>
  <si>
    <t>Aspek Penilaian Catatan Kesalahan</t>
  </si>
  <si>
    <t>Tajwid</t>
  </si>
  <si>
    <t>Kalimat</t>
  </si>
  <si>
    <t>Shifat</t>
  </si>
  <si>
    <t>Ibtida'</t>
  </si>
  <si>
    <t>Tanfis</t>
  </si>
  <si>
    <t>Kelancaran</t>
  </si>
  <si>
    <t>Catatan Nilai Kesalahan</t>
  </si>
  <si>
    <t>Soal Ayat I</t>
  </si>
  <si>
    <t>Nilai*)</t>
  </si>
  <si>
    <t>Nilai**)</t>
  </si>
  <si>
    <t>Nilai***)</t>
  </si>
  <si>
    <t>Soal Evaluasi Ghoroib</t>
  </si>
  <si>
    <t>: Goroib</t>
  </si>
  <si>
    <t>Surat Fatihah</t>
  </si>
  <si>
    <t>Catatan Nilai</t>
  </si>
  <si>
    <t>Pertanyaan Nilai Max 1)</t>
  </si>
  <si>
    <t>Nilai Gerakan Wudlu Nilai Max 2)</t>
  </si>
  <si>
    <t>: Tartil dan Fashohah</t>
  </si>
  <si>
    <t>Nila Max 3)</t>
  </si>
  <si>
    <t>: Praktik Sholat</t>
  </si>
  <si>
    <t>Rincian Nilai</t>
  </si>
  <si>
    <t>Niat dan Berdiri</t>
  </si>
  <si>
    <t>Takbir dan Iftitah</t>
  </si>
  <si>
    <t>Fatihah</t>
  </si>
  <si>
    <t>Ruku'</t>
  </si>
  <si>
    <t>I'tidal dan Qunud</t>
  </si>
  <si>
    <t>Sujud</t>
  </si>
  <si>
    <t>Tawaruk</t>
  </si>
  <si>
    <t>Tasyahud</t>
  </si>
  <si>
    <t>Salam</t>
  </si>
  <si>
    <t>1,5</t>
  </si>
  <si>
    <t>0,5</t>
  </si>
  <si>
    <t>Nomor Urut Materi</t>
  </si>
  <si>
    <t>Ketua Panitia</t>
  </si>
  <si>
    <t>iftirosy</t>
  </si>
  <si>
    <t>Tartil dan Fasohah</t>
  </si>
  <si>
    <t>Ghoroib Qur'an</t>
  </si>
  <si>
    <t>Ilmu Tajwid</t>
  </si>
  <si>
    <t>Tauhid</t>
  </si>
  <si>
    <t>Praktik Wudlu</t>
  </si>
  <si>
    <t>Praktik Sholat</t>
  </si>
  <si>
    <t>Hafalan Surat Pendek</t>
  </si>
  <si>
    <t>Hafalan Do'a Harian</t>
  </si>
  <si>
    <t>Khitabah</t>
  </si>
  <si>
    <t>Ahmad Nidlomi</t>
  </si>
  <si>
    <t>Ahmad Ma'ruf</t>
  </si>
  <si>
    <t>M Adib Musthofa</t>
  </si>
  <si>
    <t>Wahyu Indra Pratama</t>
  </si>
  <si>
    <t>Heru Setiawan</t>
  </si>
  <si>
    <t>Muhammad Tri Anggara</t>
  </si>
  <si>
    <t>Maulana Maik Arrizki</t>
  </si>
  <si>
    <t>Rita Yulianti</t>
  </si>
  <si>
    <t>Evi Nurmala Sari</t>
  </si>
  <si>
    <t>Siti Fatma Wati</t>
  </si>
  <si>
    <t>Nurul Hidayah</t>
  </si>
  <si>
    <t>Rifatun Nabila</t>
  </si>
  <si>
    <t>Kurnia Lestari</t>
  </si>
  <si>
    <t>Aura Berliana Matin</t>
  </si>
  <si>
    <t>Aulia Zahra</t>
  </si>
  <si>
    <t>Siti Nur Jannah</t>
  </si>
  <si>
    <t>Nayla Muthia Ismail</t>
  </si>
  <si>
    <t>Putri Nur Anisa Mei</t>
  </si>
  <si>
    <t>Siti Munawaroh</t>
  </si>
  <si>
    <t>Lutfia Hasanah</t>
  </si>
  <si>
    <t>A'ti Lailatin Na'im</t>
  </si>
  <si>
    <t>Mujamilatul Fikri</t>
  </si>
  <si>
    <t>Keyla Runisya</t>
  </si>
  <si>
    <t>Iis Qomariyah</t>
  </si>
  <si>
    <t>Halimah Sa'diyah</t>
  </si>
  <si>
    <t>Wulan Suci Ramadhani</t>
  </si>
  <si>
    <t>Ratna Mustofiah</t>
  </si>
  <si>
    <t>Tambak Jaya,             Maret 2018</t>
  </si>
  <si>
    <t>Halimah Sya'diah</t>
  </si>
  <si>
    <t>Samsul Anwar</t>
  </si>
  <si>
    <t>Umi Kulsum Ambar Wati</t>
  </si>
  <si>
    <t>Nur Halimah</t>
  </si>
  <si>
    <t>A Muslih Abdurrahman</t>
  </si>
  <si>
    <t>PANITIA UJIAN AKHIR</t>
  </si>
  <si>
    <t>THORIQOH BACA TULIS DAN MENGHAFAL ALQUR'AN</t>
  </si>
  <si>
    <t>YANBU'A</t>
  </si>
  <si>
    <t>Tajwid (1,25)</t>
  </si>
  <si>
    <t>LULUS</t>
  </si>
  <si>
    <t>Rangking</t>
  </si>
  <si>
    <t>No Ujian</t>
  </si>
  <si>
    <t>Nama Peserta</t>
  </si>
  <si>
    <t>Tempat Tanggal Lahir</t>
  </si>
  <si>
    <t>Alamat</t>
  </si>
  <si>
    <t>Nama Ayah</t>
  </si>
  <si>
    <t>Nama Ibu</t>
  </si>
  <si>
    <t>FORMULIR UJIAN AKHIR RTQ</t>
  </si>
  <si>
    <t>Nama Lengkap</t>
  </si>
  <si>
    <t>Nama Ayah Kandung</t>
  </si>
  <si>
    <t>Tempat, Tanggal Lahir</t>
  </si>
  <si>
    <t>Alamat Lengkap Santri</t>
  </si>
  <si>
    <t>Tanggal Masuk RTQ</t>
  </si>
  <si>
    <t>Nomor Induk</t>
  </si>
  <si>
    <t>Tanggal Khotim Al-Quran</t>
  </si>
  <si>
    <t>Lama Pendidikan</t>
  </si>
  <si>
    <t>Nama RTQ</t>
  </si>
  <si>
    <t>Alamat RTQ</t>
  </si>
  <si>
    <t>Nama Kepala RTQ</t>
  </si>
  <si>
    <t>:</t>
  </si>
  <si>
    <t>………………………(Kurang/Lebih)………………...Bulan</t>
  </si>
  <si>
    <t xml:space="preserve">          Bersama ini kami sertakan : pas photo berwarna 3 X 4 (3 Lembar) berkopyah (L) berjilbab (P)</t>
  </si>
  <si>
    <t>THORIQOH BACA TULIS DAN MENGHAFAL AL-QUR’AN YANBU'A</t>
  </si>
  <si>
    <t xml:space="preserve"> </t>
  </si>
  <si>
    <t>Indra Saputra</t>
  </si>
  <si>
    <t>Lilik Sulastri</t>
  </si>
  <si>
    <t>Supiatun</t>
  </si>
  <si>
    <t>Agus Hariyanto</t>
  </si>
  <si>
    <t>: Kitabah</t>
  </si>
  <si>
    <t>Kitabah</t>
  </si>
  <si>
    <t>Wudhu</t>
  </si>
  <si>
    <t>Do'a Harian</t>
  </si>
  <si>
    <t>Ghorib</t>
  </si>
  <si>
    <t>Tartil Fasohah</t>
  </si>
  <si>
    <t>Surat Pendek</t>
  </si>
  <si>
    <t>Fasholatan</t>
  </si>
  <si>
    <t>KET :</t>
  </si>
  <si>
    <t>TIDAK LULUS</t>
  </si>
  <si>
    <t>وماشـهدناالابماعلمنا</t>
  </si>
  <si>
    <t>SYAHADAH</t>
  </si>
  <si>
    <t>ROUDLOTU TARBIYATIL QUR’AN</t>
  </si>
  <si>
    <t>LAJNAH MUROQOBAH LEMBAGA PENDIDIKAN AL-QUR’AN</t>
  </si>
  <si>
    <t>THORIQOH BACA TULIS DAN MENGHAFAL AL-QUR’AN YANBU’A</t>
  </si>
  <si>
    <t>KABUPATEN LAMPUNG BARAT</t>
  </si>
  <si>
    <t>Tempat / Tanggal Lahir</t>
  </si>
  <si>
    <t>No Induk Santri</t>
  </si>
  <si>
    <t>Lajnah Muroqobah Yanbu’a</t>
  </si>
  <si>
    <t>SYABUL MUBAROK</t>
  </si>
  <si>
    <t>DAFTAR NILAI UJIAN AKHIR RTQ</t>
  </si>
  <si>
    <t>Tempat, Tangggal Lahir</t>
  </si>
  <si>
    <t>Nomor Induk Santri</t>
  </si>
  <si>
    <t>Nomor Ujian</t>
  </si>
  <si>
    <t>NO</t>
  </si>
  <si>
    <t>MATA UJIAN</t>
  </si>
  <si>
    <t>NILAI</t>
  </si>
  <si>
    <t>ANGKA</t>
  </si>
  <si>
    <t>HURUF</t>
  </si>
  <si>
    <t>Ghoroibul Qur'an</t>
  </si>
  <si>
    <t>JUMLAH</t>
  </si>
  <si>
    <t>Ketua Tim Penguji</t>
  </si>
  <si>
    <t>…................................................</t>
  </si>
  <si>
    <t>…...................................................................</t>
  </si>
  <si>
    <t>no induk</t>
  </si>
  <si>
    <t>NO UJIAN</t>
  </si>
  <si>
    <t>PERIODE 2025 M / 1447 H</t>
  </si>
  <si>
    <t>Abu Hanifan</t>
  </si>
  <si>
    <t>No Whatsapp RTQ</t>
  </si>
  <si>
    <t>Utsmaniyah III</t>
  </si>
  <si>
    <t>Jl. Tirtomoyo, Margorahayu, Desa Tambak Jaya Kec, Way Tenong Kab, Lampung Barat</t>
  </si>
  <si>
    <t xml:space="preserve">                 Pendaftar</t>
  </si>
  <si>
    <t>Tambak Jaya, ………….. Agustus 2025</t>
  </si>
  <si>
    <t xml:space="preserve">          Dengan ini kami mendaftarkan diri sebagai Peserta Ujian Akhir RTQ Thoriqoh Baca Tulis dan Menghafal Al-Qur’an Yanbu’a, Lajnah Muroqobah Yanbu’a Lampung Barat, dan bersedia melengkapi persyaratan serta tata tertib ujian yang dibuat oleh panitia</t>
  </si>
  <si>
    <t>Utsmaniyyah III</t>
  </si>
  <si>
    <t>Tambak Jaya,                   September 2025</t>
  </si>
  <si>
    <t>6 Surat Pilihan Nilai Max 1)</t>
  </si>
  <si>
    <t>Aulia Zahra El Fikri</t>
  </si>
  <si>
    <t>Ahmad Habiburrahman</t>
  </si>
  <si>
    <t>M. Fatan Azzamy Isma'il</t>
  </si>
  <si>
    <t>M. Mahi Mutawakkil</t>
  </si>
  <si>
    <t>Renoval Faiz Al Ghifari</t>
  </si>
  <si>
    <t>Muhammad Rozikin</t>
  </si>
  <si>
    <t>Sindi Wulandari</t>
  </si>
  <si>
    <t>Nur Habibi</t>
  </si>
  <si>
    <t>Charokat</t>
  </si>
  <si>
    <t>Churuf</t>
  </si>
  <si>
    <t>D+A1:M31AFTAR NILAI UJIAN AKHIR</t>
  </si>
  <si>
    <t>RTQ</t>
  </si>
  <si>
    <t>: Doa Harian</t>
  </si>
  <si>
    <t>Doa Harian</t>
  </si>
  <si>
    <t>: Hafalan Surat Pendek</t>
  </si>
  <si>
    <t>Rank</t>
  </si>
  <si>
    <t>Sekincau, 12 Agustus 2012</t>
  </si>
  <si>
    <t>Margodadi, Tambak Jaya Kec.Way Tenong Kab. Lampung Barat</t>
  </si>
  <si>
    <t>Tambak Jaya, 26 Juli 2007</t>
  </si>
  <si>
    <t>M.Fikri</t>
  </si>
  <si>
    <t>Eni Lestari</t>
  </si>
  <si>
    <t>Margorahayu, Tambak Jaya Kec. Way Tenong Kab. Lampung Barat</t>
  </si>
  <si>
    <t>Lampung Barat, 11 Juni 2014</t>
  </si>
  <si>
    <t>Andi Rohman</t>
  </si>
  <si>
    <t>Hanik Farida</t>
  </si>
  <si>
    <t>Ahmad Alhabib Ramadhan</t>
  </si>
  <si>
    <t>Margo Mulyo, Tambak Jaya Kec. Way Tenong Kab. Lampung Barat</t>
  </si>
  <si>
    <t>Tambak Jaya, 26 Desember 2011</t>
  </si>
  <si>
    <t>Jaenuri</t>
  </si>
  <si>
    <t>Siti Alfiah</t>
  </si>
  <si>
    <t>Padang Tambak, 22 Desember 2012</t>
  </si>
  <si>
    <t>Kastahar</t>
  </si>
  <si>
    <t>Nur Indah</t>
  </si>
  <si>
    <t>LMY-LB/RTQ-U3/001/09/10/2025</t>
  </si>
  <si>
    <t>LMY-LB/RTQ-U3/002/09/10/2025</t>
  </si>
  <si>
    <t>LMY-LB/RTQ-U3/003/09/10/2025</t>
  </si>
  <si>
    <t>LMY-LB/RTQ-U3/004/09/10/2025</t>
  </si>
  <si>
    <t>LMY-LB/RTQ-U3/005/09/10/2025</t>
  </si>
  <si>
    <t>LMY-LB/RTQ-U3/006/09/10/2025</t>
  </si>
  <si>
    <t>LMY-LB/RTQ-U3/007/09/10/2025</t>
  </si>
  <si>
    <t>Jenis Kelamin</t>
  </si>
  <si>
    <t>L</t>
  </si>
  <si>
    <t>P</t>
  </si>
  <si>
    <t>0001</t>
  </si>
  <si>
    <t>0006</t>
  </si>
  <si>
    <t>0008</t>
  </si>
  <si>
    <t>0007</t>
  </si>
  <si>
    <t>0003</t>
  </si>
  <si>
    <t>0009</t>
  </si>
  <si>
    <t>0005</t>
  </si>
  <si>
    <t>Tambak Jaya, 06 September 2013</t>
  </si>
  <si>
    <t>ABU HANIFAN</t>
  </si>
  <si>
    <t>Kepala RTQ Utsmaniyah III</t>
  </si>
  <si>
    <t>IKHWANUL KIROM</t>
  </si>
  <si>
    <t>Tambak Jaya, 07 September 2025</t>
  </si>
  <si>
    <t>Lampung Barat, 21 September 2025</t>
  </si>
  <si>
    <t>TAHUN PELAJARAN 2025 M/ 1447 H</t>
  </si>
  <si>
    <r>
      <t xml:space="preserve">Dinyatakan </t>
    </r>
    <r>
      <rPr>
        <b/>
        <sz val="12"/>
        <color theme="1"/>
        <rFont val="Bodoni MT"/>
        <family val="1"/>
      </rPr>
      <t xml:space="preserve">Khotam dan Lulus </t>
    </r>
    <r>
      <rPr>
        <sz val="12"/>
        <color theme="1"/>
        <rFont val="Bodoni MT"/>
        <family val="1"/>
      </rPr>
      <t>tingkat dasar di lembaga Roudlotu Tarbiyatil Qur’an dan sebagai bukti kepadanya diberikan Syahadah. Semoga Allah memberinya ilmu yang bermanfaat. Aamiin.</t>
    </r>
  </si>
  <si>
    <t>Setelah mengadakan ujian akhir RTQ tingkat dasar pada tanggal 14 Rabi'ul Awwal 1447 H. / 07 September 2025 M. yang diselenggarakan di RTQ UTSMANIYYAH III Jl.Tirtomoyo, No.083, Margorahayu, Desa Tambak Jaya Kec, Way Tenong Kab, Lampung Barat, maka kami menyatakan bahwa anak yang bernama:</t>
  </si>
  <si>
    <t>Tartil Fashohah</t>
  </si>
  <si>
    <t>Tauhid Dasar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</si>
</sst>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0.0"/>
    <numFmt numFmtId="166" formatCode="#,##0.0"/>
    <numFmt numFmtId="169" formatCode="0;0;"/>
    <numFmt numFmtId="171" formatCode="0.00;0.00;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u/>
      <sz val="12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12"/>
      <color theme="1"/>
      <name val="Arial Rounded MT Bold"/>
      <family val="2"/>
    </font>
    <font>
      <b/>
      <sz val="11"/>
      <color theme="1"/>
      <name val="Arial"/>
      <family val="2"/>
    </font>
    <font>
      <sz val="72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2"/>
      <color rgb="FF00B050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39"/>
      <color theme="1"/>
      <name val="Arial"/>
      <family val="2"/>
    </font>
    <font>
      <b/>
      <sz val="30"/>
      <color theme="1"/>
      <name val="Bodoni MT"/>
      <family val="1"/>
    </font>
    <font>
      <b/>
      <sz val="12"/>
      <color theme="1"/>
      <name val="Bodoni MT"/>
      <family val="1"/>
    </font>
    <font>
      <b/>
      <u/>
      <sz val="12"/>
      <color theme="1"/>
      <name val="Bodoni MT"/>
      <family val="1"/>
    </font>
    <font>
      <sz val="12"/>
      <color theme="1"/>
      <name val="Bodoni MT"/>
      <family val="1"/>
    </font>
    <font>
      <u/>
      <sz val="22"/>
      <color theme="1"/>
      <name val="Bernard MT Condensed"/>
      <family val="1"/>
    </font>
    <font>
      <sz val="11"/>
      <color theme="1"/>
      <name val="Bodoni MT"/>
      <family val="1"/>
    </font>
    <font>
      <sz val="14"/>
      <color theme="1"/>
      <name val="Bodoni MT"/>
      <family val="1"/>
    </font>
    <font>
      <b/>
      <u/>
      <sz val="14"/>
      <color theme="1"/>
      <name val="Bodoni MT"/>
      <family val="1"/>
    </font>
    <font>
      <sz val="8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8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0" xfId="0" applyFont="1"/>
    <xf numFmtId="0" fontId="3" fillId="0" borderId="0" xfId="0" applyFont="1"/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2" borderId="0" xfId="0" applyFill="1"/>
    <xf numFmtId="1" fontId="0" fillId="0" borderId="0" xfId="0" applyNumberFormat="1"/>
    <xf numFmtId="1" fontId="2" fillId="0" borderId="0" xfId="0" applyNumberFormat="1" applyFont="1"/>
    <xf numFmtId="1" fontId="4" fillId="0" borderId="0" xfId="0" applyNumberFormat="1" applyFont="1"/>
    <xf numFmtId="1" fontId="3" fillId="0" borderId="0" xfId="0" applyNumberFormat="1" applyFont="1"/>
    <xf numFmtId="1" fontId="2" fillId="0" borderId="1" xfId="0" applyNumberFormat="1" applyFont="1" applyBorder="1"/>
    <xf numFmtId="1" fontId="0" fillId="0" borderId="1" xfId="0" applyNumberFormat="1" applyBorder="1" applyAlignment="1">
      <alignment horizontal="center"/>
    </xf>
    <xf numFmtId="1" fontId="0" fillId="0" borderId="1" xfId="0" applyNumberFormat="1" applyBorder="1"/>
    <xf numFmtId="1" fontId="6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7" fillId="0" borderId="0" xfId="0" applyFont="1"/>
    <xf numFmtId="0" fontId="10" fillId="0" borderId="0" xfId="0" applyFont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14" fontId="8" fillId="0" borderId="0" xfId="0" applyNumberFormat="1" applyFont="1"/>
    <xf numFmtId="0" fontId="11" fillId="0" borderId="0" xfId="0" applyFont="1"/>
    <xf numFmtId="0" fontId="12" fillId="0" borderId="0" xfId="0" applyFont="1"/>
    <xf numFmtId="0" fontId="8" fillId="3" borderId="1" xfId="0" applyFont="1" applyFill="1" applyBorder="1"/>
    <xf numFmtId="0" fontId="4" fillId="0" borderId="1" xfId="0" applyFont="1" applyBorder="1"/>
    <xf numFmtId="1" fontId="3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1" fillId="0" borderId="0" xfId="1"/>
    <xf numFmtId="165" fontId="2" fillId="0" borderId="1" xfId="0" applyNumberFormat="1" applyFont="1" applyBorder="1"/>
    <xf numFmtId="165" fontId="2" fillId="4" borderId="1" xfId="0" applyNumberFormat="1" applyFont="1" applyFill="1" applyBorder="1"/>
    <xf numFmtId="165" fontId="2" fillId="2" borderId="1" xfId="0" applyNumberFormat="1" applyFont="1" applyFill="1" applyBorder="1"/>
    <xf numFmtId="1" fontId="6" fillId="2" borderId="1" xfId="0" applyNumberFormat="1" applyFont="1" applyFill="1" applyBorder="1" applyAlignment="1">
      <alignment horizontal="center"/>
    </xf>
    <xf numFmtId="1" fontId="2" fillId="2" borderId="1" xfId="0" applyNumberFormat="1" applyFont="1" applyFill="1" applyBorder="1"/>
    <xf numFmtId="1" fontId="0" fillId="2" borderId="1" xfId="0" applyNumberFormat="1" applyFill="1" applyBorder="1" applyAlignment="1">
      <alignment horizontal="center"/>
    </xf>
    <xf numFmtId="1" fontId="0" fillId="2" borderId="1" xfId="0" applyNumberFormat="1" applyFill="1" applyBorder="1"/>
    <xf numFmtId="1" fontId="3" fillId="2" borderId="1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6" fontId="0" fillId="0" borderId="19" xfId="0" applyNumberFormat="1" applyBorder="1" applyAlignment="1">
      <alignment horizontal="center" vertical="center"/>
    </xf>
    <xf numFmtId="0" fontId="8" fillId="0" borderId="0" xfId="0" applyFont="1" applyAlignment="1">
      <alignment vertical="top"/>
    </xf>
    <xf numFmtId="0" fontId="8" fillId="0" borderId="0" xfId="0" applyFont="1" applyAlignment="1">
      <alignment horizontal="left" indent="14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3" fontId="0" fillId="0" borderId="1" xfId="0" applyNumberFormat="1" applyBorder="1"/>
    <xf numFmtId="166" fontId="5" fillId="0" borderId="1" xfId="0" applyNumberFormat="1" applyFont="1" applyBorder="1"/>
    <xf numFmtId="1" fontId="17" fillId="0" borderId="1" xfId="0" applyNumberFormat="1" applyFont="1" applyBorder="1"/>
    <xf numFmtId="1" fontId="20" fillId="0" borderId="1" xfId="0" applyNumberFormat="1" applyFont="1" applyBorder="1" applyAlignment="1">
      <alignment horizontal="center"/>
    </xf>
    <xf numFmtId="1" fontId="17" fillId="0" borderId="1" xfId="0" applyNumberFormat="1" applyFont="1" applyBorder="1" applyAlignment="1">
      <alignment horizontal="center"/>
    </xf>
    <xf numFmtId="1" fontId="18" fillId="0" borderId="0" xfId="0" applyNumberFormat="1" applyFont="1"/>
    <xf numFmtId="1" fontId="17" fillId="0" borderId="0" xfId="0" applyNumberFormat="1" applyFont="1"/>
    <xf numFmtId="1" fontId="21" fillId="0" borderId="0" xfId="0" applyNumberFormat="1" applyFont="1"/>
    <xf numFmtId="1" fontId="20" fillId="0" borderId="0" xfId="0" applyNumberFormat="1" applyFont="1"/>
    <xf numFmtId="1" fontId="17" fillId="2" borderId="1" xfId="0" applyNumberFormat="1" applyFont="1" applyFill="1" applyBorder="1"/>
    <xf numFmtId="1" fontId="17" fillId="4" borderId="1" xfId="0" applyNumberFormat="1" applyFont="1" applyFill="1" applyBorder="1"/>
    <xf numFmtId="1" fontId="8" fillId="0" borderId="1" xfId="0" applyNumberFormat="1" applyFont="1" applyBorder="1"/>
    <xf numFmtId="0" fontId="0" fillId="0" borderId="0" xfId="0" applyAlignment="1">
      <alignment wrapText="1"/>
    </xf>
    <xf numFmtId="0" fontId="26" fillId="0" borderId="0" xfId="0" applyFont="1" applyAlignment="1">
      <alignment horizontal="left" vertical="top" wrapText="1"/>
    </xf>
    <xf numFmtId="0" fontId="2" fillId="0" borderId="0" xfId="0" applyFont="1" applyAlignment="1">
      <alignment vertical="top" wrapText="1"/>
    </xf>
    <xf numFmtId="0" fontId="26" fillId="0" borderId="0" xfId="0" applyFont="1" applyAlignment="1">
      <alignment vertical="top" wrapText="1"/>
    </xf>
    <xf numFmtId="0" fontId="26" fillId="0" borderId="0" xfId="0" applyFont="1" applyAlignment="1">
      <alignment horizontal="left" vertical="center" indent="4"/>
    </xf>
    <xf numFmtId="0" fontId="25" fillId="0" borderId="0" xfId="0" applyFont="1" applyAlignment="1">
      <alignment horizontal="left" vertical="center" indent="4"/>
    </xf>
    <xf numFmtId="0" fontId="28" fillId="0" borderId="0" xfId="0" applyFont="1"/>
    <xf numFmtId="0" fontId="0" fillId="0" borderId="10" xfId="0" applyBorder="1"/>
    <xf numFmtId="1" fontId="28" fillId="0" borderId="0" xfId="0" applyNumberFormat="1" applyFont="1"/>
    <xf numFmtId="0" fontId="26" fillId="0" borderId="0" xfId="0" applyFont="1"/>
    <xf numFmtId="0" fontId="24" fillId="0" borderId="1" xfId="0" applyFont="1" applyBorder="1" applyAlignment="1">
      <alignment horizontal="center" vertical="center"/>
    </xf>
    <xf numFmtId="0" fontId="26" fillId="0" borderId="1" xfId="0" applyFont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9" fillId="0" borderId="0" xfId="0" applyFont="1" applyAlignment="1">
      <alignment vertical="center"/>
    </xf>
    <xf numFmtId="0" fontId="26" fillId="0" borderId="1" xfId="0" applyFont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left" vertical="center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wrapText="1"/>
    </xf>
    <xf numFmtId="166" fontId="0" fillId="0" borderId="1" xfId="0" applyNumberFormat="1" applyBorder="1"/>
    <xf numFmtId="2" fontId="8" fillId="0" borderId="1" xfId="0" applyNumberFormat="1" applyFont="1" applyBorder="1"/>
    <xf numFmtId="0" fontId="16" fillId="0" borderId="10" xfId="0" applyFont="1" applyBorder="1" applyAlignment="1">
      <alignment horizontal="center" vertical="center"/>
    </xf>
    <xf numFmtId="1" fontId="26" fillId="0" borderId="1" xfId="0" applyNumberFormat="1" applyFont="1" applyBorder="1" applyAlignment="1">
      <alignment horizontal="center" vertical="center"/>
    </xf>
    <xf numFmtId="0" fontId="26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6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0" fillId="3" borderId="1" xfId="0" applyFill="1" applyBorder="1"/>
    <xf numFmtId="0" fontId="8" fillId="0" borderId="0" xfId="0" applyFont="1" applyAlignment="1">
      <alignment vertical="center"/>
    </xf>
    <xf numFmtId="0" fontId="8" fillId="5" borderId="1" xfId="0" applyFont="1" applyFill="1" applyBorder="1"/>
    <xf numFmtId="1" fontId="20" fillId="0" borderId="1" xfId="0" applyNumberFormat="1" applyFont="1" applyBorder="1" applyAlignment="1">
      <alignment horizontal="center" vertical="center" wrapText="1"/>
    </xf>
    <xf numFmtId="0" fontId="15" fillId="0" borderId="11" xfId="1" quotePrefix="1" applyFont="1" applyBorder="1" applyAlignment="1">
      <alignment horizontal="center" vertical="center"/>
    </xf>
    <xf numFmtId="0" fontId="15" fillId="0" borderId="12" xfId="1" applyFont="1" applyBorder="1" applyAlignment="1">
      <alignment horizontal="center" vertical="center"/>
    </xf>
    <xf numFmtId="0" fontId="15" fillId="0" borderId="13" xfId="1" applyFont="1" applyBorder="1" applyAlignment="1">
      <alignment horizontal="center" vertical="center"/>
    </xf>
    <xf numFmtId="0" fontId="15" fillId="0" borderId="14" xfId="1" applyFont="1" applyBorder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5" fillId="0" borderId="15" xfId="1" applyFont="1" applyBorder="1" applyAlignment="1">
      <alignment horizontal="center" vertical="center"/>
    </xf>
    <xf numFmtId="0" fontId="15" fillId="0" borderId="16" xfId="1" applyFont="1" applyBorder="1" applyAlignment="1">
      <alignment horizontal="center" vertical="center"/>
    </xf>
    <xf numFmtId="0" fontId="15" fillId="0" borderId="17" xfId="1" applyFont="1" applyBorder="1" applyAlignment="1">
      <alignment horizontal="center" vertical="center"/>
    </xf>
    <xf numFmtId="0" fontId="15" fillId="0" borderId="18" xfId="1" applyFont="1" applyBorder="1" applyAlignment="1">
      <alignment horizontal="center" vertical="center"/>
    </xf>
    <xf numFmtId="0" fontId="14" fillId="0" borderId="11" xfId="1" applyFont="1" applyBorder="1" applyAlignment="1">
      <alignment horizontal="center"/>
    </xf>
    <xf numFmtId="0" fontId="14" fillId="0" borderId="12" xfId="1" applyFont="1" applyBorder="1" applyAlignment="1">
      <alignment horizontal="center"/>
    </xf>
    <xf numFmtId="0" fontId="14" fillId="0" borderId="13" xfId="1" applyFont="1" applyBorder="1" applyAlignment="1">
      <alignment horizontal="center"/>
    </xf>
    <xf numFmtId="0" fontId="14" fillId="0" borderId="14" xfId="1" applyFont="1" applyBorder="1" applyAlignment="1">
      <alignment horizontal="center"/>
    </xf>
    <xf numFmtId="0" fontId="14" fillId="0" borderId="0" xfId="1" applyFont="1" applyAlignment="1">
      <alignment horizontal="center"/>
    </xf>
    <xf numFmtId="0" fontId="14" fillId="0" borderId="15" xfId="1" applyFont="1" applyBorder="1" applyAlignment="1">
      <alignment horizontal="center"/>
    </xf>
    <xf numFmtId="0" fontId="14" fillId="0" borderId="16" xfId="1" applyFont="1" applyBorder="1" applyAlignment="1">
      <alignment horizontal="center"/>
    </xf>
    <xf numFmtId="0" fontId="14" fillId="0" borderId="17" xfId="1" applyFont="1" applyBorder="1" applyAlignment="1">
      <alignment horizontal="center"/>
    </xf>
    <xf numFmtId="0" fontId="14" fillId="0" borderId="18" xfId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 wrapText="1"/>
    </xf>
    <xf numFmtId="0" fontId="23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horizontal="center" vertical="center" wrapText="1"/>
    </xf>
    <xf numFmtId="0" fontId="26" fillId="0" borderId="0" xfId="0" applyFont="1" applyAlignment="1">
      <alignment horizontal="left" vertical="center"/>
    </xf>
    <xf numFmtId="0" fontId="22" fillId="0" borderId="0" xfId="0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8" fillId="0" borderId="0" xfId="0" applyFont="1" applyAlignment="1">
      <alignment horizontal="center"/>
    </xf>
    <xf numFmtId="0" fontId="24" fillId="0" borderId="1" xfId="0" applyFont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0" borderId="4" xfId="0" applyFont="1" applyBorder="1" applyAlignment="1">
      <alignment horizontal="center" vertical="center"/>
    </xf>
    <xf numFmtId="0" fontId="24" fillId="0" borderId="5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center" vertical="center"/>
    </xf>
    <xf numFmtId="0" fontId="26" fillId="0" borderId="1" xfId="0" applyFont="1" applyBorder="1" applyAlignment="1">
      <alignment horizontal="left" vertical="center"/>
    </xf>
    <xf numFmtId="1" fontId="21" fillId="0" borderId="0" xfId="0" applyNumberFormat="1" applyFont="1" applyAlignment="1">
      <alignment horizontal="center"/>
    </xf>
    <xf numFmtId="1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3" fillId="0" borderId="1" xfId="0" applyNumberFormat="1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 wrapText="1"/>
    </xf>
    <xf numFmtId="1" fontId="3" fillId="0" borderId="10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left" vertical="top" wrapText="1" indent="2"/>
    </xf>
    <xf numFmtId="0" fontId="7" fillId="0" borderId="0" xfId="0" applyFont="1" applyAlignment="1">
      <alignment horizontal="center" vertical="center"/>
    </xf>
    <xf numFmtId="169" fontId="8" fillId="0" borderId="1" xfId="0" applyNumberFormat="1" applyFont="1" applyBorder="1"/>
    <xf numFmtId="169" fontId="8" fillId="0" borderId="1" xfId="0" applyNumberFormat="1" applyFont="1" applyBorder="1" applyAlignment="1">
      <alignment horizontal="center"/>
    </xf>
    <xf numFmtId="169" fontId="2" fillId="0" borderId="1" xfId="0" applyNumberFormat="1" applyFont="1" applyBorder="1"/>
    <xf numFmtId="169" fontId="19" fillId="0" borderId="1" xfId="0" applyNumberFormat="1" applyFont="1" applyBorder="1"/>
    <xf numFmtId="169" fontId="17" fillId="0" borderId="1" xfId="0" applyNumberFormat="1" applyFont="1" applyBorder="1" applyAlignment="1">
      <alignment horizontal="center"/>
    </xf>
    <xf numFmtId="169" fontId="18" fillId="0" borderId="1" xfId="0" applyNumberFormat="1" applyFont="1" applyBorder="1"/>
    <xf numFmtId="1" fontId="20" fillId="0" borderId="2" xfId="0" applyNumberFormat="1" applyFont="1" applyBorder="1" applyAlignment="1">
      <alignment horizontal="center" vertical="center" wrapText="1"/>
    </xf>
    <xf numFmtId="1" fontId="20" fillId="0" borderId="10" xfId="0" applyNumberFormat="1" applyFont="1" applyBorder="1" applyAlignment="1">
      <alignment horizontal="center" vertical="center" wrapText="1"/>
    </xf>
    <xf numFmtId="1" fontId="20" fillId="0" borderId="3" xfId="0" applyNumberFormat="1" applyFont="1" applyBorder="1" applyAlignment="1">
      <alignment horizontal="center" vertical="center" wrapText="1"/>
    </xf>
    <xf numFmtId="0" fontId="32" fillId="0" borderId="20" xfId="0" applyFont="1" applyBorder="1" applyAlignment="1">
      <alignment horizontal="center" vertical="center" wrapText="1"/>
    </xf>
    <xf numFmtId="0" fontId="0" fillId="0" borderId="10" xfId="0" quotePrefix="1" applyBorder="1"/>
    <xf numFmtId="171" fontId="19" fillId="0" borderId="1" xfId="0" applyNumberFormat="1" applyFont="1" applyBorder="1"/>
    <xf numFmtId="171" fontId="17" fillId="0" borderId="1" xfId="0" applyNumberFormat="1" applyFont="1" applyBorder="1" applyAlignment="1">
      <alignment horizontal="center"/>
    </xf>
    <xf numFmtId="171" fontId="18" fillId="0" borderId="1" xfId="0" applyNumberFormat="1" applyFont="1" applyBorder="1"/>
    <xf numFmtId="0" fontId="19" fillId="0" borderId="1" xfId="0" applyNumberFormat="1" applyFont="1" applyBorder="1"/>
  </cellXfs>
  <cellStyles count="2">
    <cellStyle name="Normal" xfId="0" builtinId="0"/>
    <cellStyle name="Normal 2" xfId="1" xr:uid="{00000000-0005-0000-0000-000002000000}"/>
  </cellStyles>
  <dxfs count="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Spin" dx="22" fmlaLink="$H$2" max="30000" page="10" val="6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S. BELAKANG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S. DEPAN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emf"/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123825</xdr:colOff>
          <xdr:row>1</xdr:row>
          <xdr:rowOff>38100</xdr:rowOff>
        </xdr:from>
        <xdr:to>
          <xdr:col>9</xdr:col>
          <xdr:colOff>276225</xdr:colOff>
          <xdr:row>2</xdr:row>
          <xdr:rowOff>276225</xdr:rowOff>
        </xdr:to>
        <xdr:sp macro="" textlink="">
          <xdr:nvSpPr>
            <xdr:cNvPr id="18433" name="Spinner 1" hidden="1">
              <a:extLst>
                <a:ext uri="{63B3BB69-23CF-44E3-9099-C40C66FF867C}">
                  <a14:compatExt spid="_x0000_s18433"/>
                </a:ext>
                <a:ext uri="{FF2B5EF4-FFF2-40B4-BE49-F238E27FC236}">
                  <a16:creationId xmlns:a16="http://schemas.microsoft.com/office/drawing/2014/main" id="{00000000-0008-0000-0200-0000014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7</xdr:col>
      <xdr:colOff>155864</xdr:colOff>
      <xdr:row>5</xdr:row>
      <xdr:rowOff>0</xdr:rowOff>
    </xdr:from>
    <xdr:to>
      <xdr:col>13</xdr:col>
      <xdr:colOff>34636</xdr:colOff>
      <xdr:row>9</xdr:row>
      <xdr:rowOff>277091</xdr:rowOff>
    </xdr:to>
    <xdr:sp macro="" textlink="">
      <xdr:nvSpPr>
        <xdr:cNvPr id="2" name="Persegi Panjang: Sudut Lengkung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413BDA-8314-7822-F7F1-CD3A03CB0787}"/>
            </a:ext>
          </a:extLst>
        </xdr:cNvPr>
        <xdr:cNvSpPr/>
      </xdr:nvSpPr>
      <xdr:spPr>
        <a:xfrm>
          <a:off x="7533409" y="1922318"/>
          <a:ext cx="3515591" cy="1108364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4000" b="1"/>
            <a:t>BELAKANG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503465</xdr:colOff>
      <xdr:row>4</xdr:row>
      <xdr:rowOff>13607</xdr:rowOff>
    </xdr:from>
    <xdr:to>
      <xdr:col>14</xdr:col>
      <xdr:colOff>345127</xdr:colOff>
      <xdr:row>9</xdr:row>
      <xdr:rowOff>74221</xdr:rowOff>
    </xdr:to>
    <xdr:sp macro="" textlink="">
      <xdr:nvSpPr>
        <xdr:cNvPr id="2" name="Persegi Panjang: Sudut Lengkung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CECB4A-0A47-4EF6-B55F-FC02E32954BE}"/>
            </a:ext>
          </a:extLst>
        </xdr:cNvPr>
        <xdr:cNvSpPr/>
      </xdr:nvSpPr>
      <xdr:spPr>
        <a:xfrm>
          <a:off x="6926036" y="857250"/>
          <a:ext cx="3515591" cy="1108364"/>
        </a:xfrm>
        <a:prstGeom prst="roundRect">
          <a:avLst/>
        </a:prstGeom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id-ID" sz="4000" b="1"/>
            <a:t>DEPAN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28575</xdr:rowOff>
    </xdr:from>
    <xdr:to>
      <xdr:col>1</xdr:col>
      <xdr:colOff>866775</xdr:colOff>
      <xdr:row>2</xdr:row>
      <xdr:rowOff>142875</xdr:rowOff>
    </xdr:to>
    <xdr:pic>
      <xdr:nvPicPr>
        <xdr:cNvPr id="2" name="Picture 1" descr="F:\download\Yanbu%2527a%2BHijau.jpg">
          <a:extLst>
            <a:ext uri="{FF2B5EF4-FFF2-40B4-BE49-F238E27FC236}">
              <a16:creationId xmlns:a16="http://schemas.microsoft.com/office/drawing/2014/main" id="{F54DDE75-49A4-428B-A6F7-077EFA4C41DC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3000" contrast="18000"/>
        </a:blip>
        <a:srcRect/>
        <a:stretch>
          <a:fillRect/>
        </a:stretch>
      </xdr:blipFill>
      <xdr:spPr bwMode="auto">
        <a:xfrm>
          <a:off x="314326" y="28575"/>
          <a:ext cx="866774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1</xdr:colOff>
      <xdr:row>36</xdr:row>
      <xdr:rowOff>28575</xdr:rowOff>
    </xdr:from>
    <xdr:ext cx="866774" cy="604157"/>
    <xdr:pic>
      <xdr:nvPicPr>
        <xdr:cNvPr id="3" name="Picture 2" descr="F:\download\Yanbu%2527a%2BHijau.jpg">
          <a:extLst>
            <a:ext uri="{FF2B5EF4-FFF2-40B4-BE49-F238E27FC236}">
              <a16:creationId xmlns:a16="http://schemas.microsoft.com/office/drawing/2014/main" id="{E948DE9D-0EC6-49AC-81EE-0580D0EAC60D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3000" contrast="18000"/>
        </a:blip>
        <a:srcRect/>
        <a:stretch>
          <a:fillRect/>
        </a:stretch>
      </xdr:blipFill>
      <xdr:spPr bwMode="auto">
        <a:xfrm>
          <a:off x="314326" y="9058275"/>
          <a:ext cx="866774" cy="604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28575</xdr:rowOff>
    </xdr:from>
    <xdr:to>
      <xdr:col>1</xdr:col>
      <xdr:colOff>866775</xdr:colOff>
      <xdr:row>2</xdr:row>
      <xdr:rowOff>142875</xdr:rowOff>
    </xdr:to>
    <xdr:pic>
      <xdr:nvPicPr>
        <xdr:cNvPr id="2" name="Picture 1" descr="F:\download\Yanbu%2527a%2BHijau.jp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3000" contrast="18000"/>
        </a:blip>
        <a:srcRect/>
        <a:stretch>
          <a:fillRect/>
        </a:stretch>
      </xdr:blipFill>
      <xdr:spPr bwMode="auto">
        <a:xfrm>
          <a:off x="314326" y="28575"/>
          <a:ext cx="866774" cy="495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</xdr:col>
      <xdr:colOff>1</xdr:colOff>
      <xdr:row>36</xdr:row>
      <xdr:rowOff>28575</xdr:rowOff>
    </xdr:from>
    <xdr:ext cx="866774" cy="604157"/>
    <xdr:pic>
      <xdr:nvPicPr>
        <xdr:cNvPr id="3" name="Picture 2" descr="F:\download\Yanbu%2527a%2BHijau.jpg">
          <a:extLst>
            <a:ext uri="{FF2B5EF4-FFF2-40B4-BE49-F238E27FC236}">
              <a16:creationId xmlns:a16="http://schemas.microsoft.com/office/drawing/2014/main" id="{39FCC8E0-6BE1-44EB-98D2-099EEF80072D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3000" contrast="18000"/>
        </a:blip>
        <a:srcRect/>
        <a:stretch>
          <a:fillRect/>
        </a:stretch>
      </xdr:blipFill>
      <xdr:spPr bwMode="auto">
        <a:xfrm>
          <a:off x="312965" y="28575"/>
          <a:ext cx="866774" cy="604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342901</xdr:colOff>
      <xdr:row>0</xdr:row>
      <xdr:rowOff>28575</xdr:rowOff>
    </xdr:from>
    <xdr:to>
      <xdr:col>1</xdr:col>
      <xdr:colOff>733425</xdr:colOff>
      <xdr:row>3</xdr:row>
      <xdr:rowOff>28575</xdr:rowOff>
    </xdr:to>
    <xdr:pic>
      <xdr:nvPicPr>
        <xdr:cNvPr id="2" name="Picture 1" descr="F:\download\Yanbu%2527a%2BHijau.jpg">
          <a:extLst>
            <a:ext uri="{FF2B5EF4-FFF2-40B4-BE49-F238E27FC236}">
              <a16:creationId xmlns:a16="http://schemas.microsoft.com/office/drawing/2014/main" id="{E6320214-9118-47FB-9DE8-A7482B446018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3000" contrast="6000"/>
        </a:blip>
        <a:srcRect/>
        <a:stretch>
          <a:fillRect/>
        </a:stretch>
      </xdr:blipFill>
      <xdr:spPr bwMode="auto">
        <a:xfrm>
          <a:off x="342901" y="28575"/>
          <a:ext cx="771524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352426</xdr:colOff>
      <xdr:row>45</xdr:row>
      <xdr:rowOff>66675</xdr:rowOff>
    </xdr:from>
    <xdr:to>
      <xdr:col>1</xdr:col>
      <xdr:colOff>742950</xdr:colOff>
      <xdr:row>47</xdr:row>
      <xdr:rowOff>200025</xdr:rowOff>
    </xdr:to>
    <xdr:pic>
      <xdr:nvPicPr>
        <xdr:cNvPr id="3" name="Picture 2" descr="F:\download\Yanbu%2527a%2BHijau.jpg">
          <a:extLst>
            <a:ext uri="{FF2B5EF4-FFF2-40B4-BE49-F238E27FC236}">
              <a16:creationId xmlns:a16="http://schemas.microsoft.com/office/drawing/2014/main" id="{A71F7998-AAAC-449E-AC33-B1A4628F9EA7}"/>
            </a:ext>
          </a:extLst>
        </xdr:cNvPr>
        <xdr:cNvPicPr/>
      </xdr:nvPicPr>
      <xdr:blipFill>
        <a:blip xmlns:r="http://schemas.openxmlformats.org/officeDocument/2006/relationships" r:embed="rId2" cstate="print">
          <a:lum bright="45000" contrast="6000"/>
        </a:blip>
        <a:srcRect/>
        <a:stretch>
          <a:fillRect/>
        </a:stretch>
      </xdr:blipFill>
      <xdr:spPr bwMode="auto">
        <a:xfrm>
          <a:off x="352426" y="10353675"/>
          <a:ext cx="771524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352426</xdr:colOff>
      <xdr:row>90</xdr:row>
      <xdr:rowOff>28575</xdr:rowOff>
    </xdr:from>
    <xdr:to>
      <xdr:col>1</xdr:col>
      <xdr:colOff>742950</xdr:colOff>
      <xdr:row>92</xdr:row>
      <xdr:rowOff>171450</xdr:rowOff>
    </xdr:to>
    <xdr:pic>
      <xdr:nvPicPr>
        <xdr:cNvPr id="4" name="Picture 4" descr="F:\download\Yanbu%2527a%2BHijau.jpg">
          <a:extLst>
            <a:ext uri="{FF2B5EF4-FFF2-40B4-BE49-F238E27FC236}">
              <a16:creationId xmlns:a16="http://schemas.microsoft.com/office/drawing/2014/main" id="{A4F3118F-DB7D-459E-AE88-0EF523DBBA34}"/>
            </a:ext>
          </a:extLst>
        </xdr:cNvPr>
        <xdr:cNvPicPr/>
      </xdr:nvPicPr>
      <xdr:blipFill>
        <a:blip xmlns:r="http://schemas.openxmlformats.org/officeDocument/2006/relationships" r:embed="rId3" cstate="print">
          <a:lum bright="45000" contrast="6000"/>
        </a:blip>
        <a:srcRect/>
        <a:stretch>
          <a:fillRect/>
        </a:stretch>
      </xdr:blipFill>
      <xdr:spPr bwMode="auto">
        <a:xfrm>
          <a:off x="352426" y="20602575"/>
          <a:ext cx="771524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</xdr:colOff>
      <xdr:row>90</xdr:row>
      <xdr:rowOff>57150</xdr:rowOff>
    </xdr:from>
    <xdr:to>
      <xdr:col>1</xdr:col>
      <xdr:colOff>771525</xdr:colOff>
      <xdr:row>93</xdr:row>
      <xdr:rowOff>57150</xdr:rowOff>
    </xdr:to>
    <xdr:pic>
      <xdr:nvPicPr>
        <xdr:cNvPr id="5" name="Picture 5" descr="F:\download\Yanbu%2527a%2BHijau.jpg">
          <a:extLst>
            <a:ext uri="{FF2B5EF4-FFF2-40B4-BE49-F238E27FC236}">
              <a16:creationId xmlns:a16="http://schemas.microsoft.com/office/drawing/2014/main" id="{8B6C3ED4-81E1-4A28-B839-030C267112F2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3000" contrast="6000"/>
        </a:blip>
        <a:srcRect/>
        <a:stretch>
          <a:fillRect/>
        </a:stretch>
      </xdr:blipFill>
      <xdr:spPr bwMode="auto">
        <a:xfrm>
          <a:off x="381001" y="20631150"/>
          <a:ext cx="771524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361951</xdr:colOff>
      <xdr:row>45</xdr:row>
      <xdr:rowOff>57150</xdr:rowOff>
    </xdr:from>
    <xdr:to>
      <xdr:col>1</xdr:col>
      <xdr:colOff>752475</xdr:colOff>
      <xdr:row>48</xdr:row>
      <xdr:rowOff>57150</xdr:rowOff>
    </xdr:to>
    <xdr:pic>
      <xdr:nvPicPr>
        <xdr:cNvPr id="6" name="Picture 6" descr="F:\download\Yanbu%2527a%2BHijau.jpg">
          <a:extLst>
            <a:ext uri="{FF2B5EF4-FFF2-40B4-BE49-F238E27FC236}">
              <a16:creationId xmlns:a16="http://schemas.microsoft.com/office/drawing/2014/main" id="{1A5E3B68-5F7C-4009-9F2F-889CFA14A8F1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3000" contrast="6000"/>
        </a:blip>
        <a:srcRect/>
        <a:stretch>
          <a:fillRect/>
        </a:stretch>
      </xdr:blipFill>
      <xdr:spPr bwMode="auto">
        <a:xfrm>
          <a:off x="361951" y="10344150"/>
          <a:ext cx="771524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342901</xdr:colOff>
      <xdr:row>0</xdr:row>
      <xdr:rowOff>28575</xdr:rowOff>
    </xdr:from>
    <xdr:to>
      <xdr:col>1</xdr:col>
      <xdr:colOff>733425</xdr:colOff>
      <xdr:row>3</xdr:row>
      <xdr:rowOff>28575</xdr:rowOff>
    </xdr:to>
    <xdr:pic>
      <xdr:nvPicPr>
        <xdr:cNvPr id="2" name="Picture 1" descr="F:\download\Yanbu%2527a%2BHijau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3000" contrast="6000"/>
        </a:blip>
        <a:srcRect/>
        <a:stretch>
          <a:fillRect/>
        </a:stretch>
      </xdr:blipFill>
      <xdr:spPr bwMode="auto">
        <a:xfrm>
          <a:off x="342901" y="28575"/>
          <a:ext cx="771524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352426</xdr:colOff>
      <xdr:row>45</xdr:row>
      <xdr:rowOff>66675</xdr:rowOff>
    </xdr:from>
    <xdr:to>
      <xdr:col>1</xdr:col>
      <xdr:colOff>742950</xdr:colOff>
      <xdr:row>47</xdr:row>
      <xdr:rowOff>200025</xdr:rowOff>
    </xdr:to>
    <xdr:pic>
      <xdr:nvPicPr>
        <xdr:cNvPr id="3" name="Picture 2" descr="F:\download\Yanbu%2527a%2BHijau.jp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lum bright="45000" contrast="6000"/>
        </a:blip>
        <a:srcRect/>
        <a:stretch>
          <a:fillRect/>
        </a:stretch>
      </xdr:blipFill>
      <xdr:spPr bwMode="auto">
        <a:xfrm>
          <a:off x="352426" y="6467475"/>
          <a:ext cx="771524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352426</xdr:colOff>
      <xdr:row>90</xdr:row>
      <xdr:rowOff>28575</xdr:rowOff>
    </xdr:from>
    <xdr:to>
      <xdr:col>1</xdr:col>
      <xdr:colOff>742950</xdr:colOff>
      <xdr:row>92</xdr:row>
      <xdr:rowOff>171450</xdr:rowOff>
    </xdr:to>
    <xdr:pic>
      <xdr:nvPicPr>
        <xdr:cNvPr id="5" name="Picture 4" descr="F:\download\Yanbu%2527a%2BHijau.jpg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3" cstate="print">
          <a:lum bright="45000" contrast="6000"/>
        </a:blip>
        <a:srcRect/>
        <a:stretch>
          <a:fillRect/>
        </a:stretch>
      </xdr:blipFill>
      <xdr:spPr bwMode="auto">
        <a:xfrm>
          <a:off x="352426" y="12782550"/>
          <a:ext cx="771524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</xdr:colOff>
      <xdr:row>90</xdr:row>
      <xdr:rowOff>57150</xdr:rowOff>
    </xdr:from>
    <xdr:to>
      <xdr:col>1</xdr:col>
      <xdr:colOff>771525</xdr:colOff>
      <xdr:row>93</xdr:row>
      <xdr:rowOff>57150</xdr:rowOff>
    </xdr:to>
    <xdr:pic>
      <xdr:nvPicPr>
        <xdr:cNvPr id="6" name="Picture 5" descr="F:\download\Yanbu%2527a%2BHijau.jp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3000" contrast="6000"/>
        </a:blip>
        <a:srcRect/>
        <a:stretch>
          <a:fillRect/>
        </a:stretch>
      </xdr:blipFill>
      <xdr:spPr bwMode="auto">
        <a:xfrm>
          <a:off x="381001" y="12811125"/>
          <a:ext cx="771524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361951</xdr:colOff>
      <xdr:row>45</xdr:row>
      <xdr:rowOff>57150</xdr:rowOff>
    </xdr:from>
    <xdr:to>
      <xdr:col>1</xdr:col>
      <xdr:colOff>752475</xdr:colOff>
      <xdr:row>48</xdr:row>
      <xdr:rowOff>57150</xdr:rowOff>
    </xdr:to>
    <xdr:pic>
      <xdr:nvPicPr>
        <xdr:cNvPr id="7" name="Picture 6" descr="F:\download\Yanbu%2527a%2BHijau.jpg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3000" contrast="6000"/>
        </a:blip>
        <a:srcRect/>
        <a:stretch>
          <a:fillRect/>
        </a:stretch>
      </xdr:blipFill>
      <xdr:spPr bwMode="auto">
        <a:xfrm>
          <a:off x="361951" y="6457950"/>
          <a:ext cx="771524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342901</xdr:colOff>
      <xdr:row>0</xdr:row>
      <xdr:rowOff>0</xdr:rowOff>
    </xdr:from>
    <xdr:to>
      <xdr:col>1</xdr:col>
      <xdr:colOff>733425</xdr:colOff>
      <xdr:row>3</xdr:row>
      <xdr:rowOff>0</xdr:rowOff>
    </xdr:to>
    <xdr:pic>
      <xdr:nvPicPr>
        <xdr:cNvPr id="2" name="Picture 1" descr="F:\download\Yanbu%2527a%2BHijau.jpg">
          <a:extLst>
            <a:ext uri="{FF2B5EF4-FFF2-40B4-BE49-F238E27FC236}">
              <a16:creationId xmlns:a16="http://schemas.microsoft.com/office/drawing/2014/main" id="{2351816A-7E0A-4263-AD6D-04B77A539FFF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3000" contrast="6000"/>
        </a:blip>
        <a:srcRect/>
        <a:stretch>
          <a:fillRect/>
        </a:stretch>
      </xdr:blipFill>
      <xdr:spPr bwMode="auto">
        <a:xfrm>
          <a:off x="342901" y="28575"/>
          <a:ext cx="771524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352426</xdr:colOff>
      <xdr:row>0</xdr:row>
      <xdr:rowOff>0</xdr:rowOff>
    </xdr:from>
    <xdr:to>
      <xdr:col>1</xdr:col>
      <xdr:colOff>742950</xdr:colOff>
      <xdr:row>2</xdr:row>
      <xdr:rowOff>133350</xdr:rowOff>
    </xdr:to>
    <xdr:pic>
      <xdr:nvPicPr>
        <xdr:cNvPr id="3" name="Picture 2" descr="F:\download\Yanbu%2527a%2BHijau.jpg">
          <a:extLst>
            <a:ext uri="{FF2B5EF4-FFF2-40B4-BE49-F238E27FC236}">
              <a16:creationId xmlns:a16="http://schemas.microsoft.com/office/drawing/2014/main" id="{7BEB41CD-54F9-4F27-957F-343F6A39B6C1}"/>
            </a:ext>
          </a:extLst>
        </xdr:cNvPr>
        <xdr:cNvPicPr/>
      </xdr:nvPicPr>
      <xdr:blipFill>
        <a:blip xmlns:r="http://schemas.openxmlformats.org/officeDocument/2006/relationships" r:embed="rId2" cstate="print">
          <a:lum bright="45000" contrast="6000"/>
        </a:blip>
        <a:srcRect/>
        <a:stretch>
          <a:fillRect/>
        </a:stretch>
      </xdr:blipFill>
      <xdr:spPr bwMode="auto">
        <a:xfrm>
          <a:off x="352426" y="10353675"/>
          <a:ext cx="771524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352426</xdr:colOff>
      <xdr:row>0</xdr:row>
      <xdr:rowOff>28575</xdr:rowOff>
    </xdr:from>
    <xdr:to>
      <xdr:col>1</xdr:col>
      <xdr:colOff>742950</xdr:colOff>
      <xdr:row>2</xdr:row>
      <xdr:rowOff>171450</xdr:rowOff>
    </xdr:to>
    <xdr:pic>
      <xdr:nvPicPr>
        <xdr:cNvPr id="4" name="Picture 4" descr="F:\download\Yanbu%2527a%2BHijau.jpg">
          <a:extLst>
            <a:ext uri="{FF2B5EF4-FFF2-40B4-BE49-F238E27FC236}">
              <a16:creationId xmlns:a16="http://schemas.microsoft.com/office/drawing/2014/main" id="{FF213707-7C2D-427D-8AA2-C5679C5979D4}"/>
            </a:ext>
          </a:extLst>
        </xdr:cNvPr>
        <xdr:cNvPicPr/>
      </xdr:nvPicPr>
      <xdr:blipFill>
        <a:blip xmlns:r="http://schemas.openxmlformats.org/officeDocument/2006/relationships" r:embed="rId3" cstate="print">
          <a:lum bright="45000" contrast="6000"/>
        </a:blip>
        <a:srcRect/>
        <a:stretch>
          <a:fillRect/>
        </a:stretch>
      </xdr:blipFill>
      <xdr:spPr bwMode="auto">
        <a:xfrm>
          <a:off x="352426" y="20602575"/>
          <a:ext cx="771524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</xdr:colOff>
      <xdr:row>0</xdr:row>
      <xdr:rowOff>57150</xdr:rowOff>
    </xdr:from>
    <xdr:to>
      <xdr:col>1</xdr:col>
      <xdr:colOff>771525</xdr:colOff>
      <xdr:row>3</xdr:row>
      <xdr:rowOff>57150</xdr:rowOff>
    </xdr:to>
    <xdr:pic>
      <xdr:nvPicPr>
        <xdr:cNvPr id="5" name="Picture 5" descr="F:\download\Yanbu%2527a%2BHijau.jpg">
          <a:extLst>
            <a:ext uri="{FF2B5EF4-FFF2-40B4-BE49-F238E27FC236}">
              <a16:creationId xmlns:a16="http://schemas.microsoft.com/office/drawing/2014/main" id="{7622ECFE-6EE2-4852-B36B-628CA1EA393C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3000" contrast="6000"/>
        </a:blip>
        <a:srcRect/>
        <a:stretch>
          <a:fillRect/>
        </a:stretch>
      </xdr:blipFill>
      <xdr:spPr bwMode="auto">
        <a:xfrm>
          <a:off x="381001" y="20631150"/>
          <a:ext cx="771524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361951</xdr:colOff>
      <xdr:row>0</xdr:row>
      <xdr:rowOff>0</xdr:rowOff>
    </xdr:from>
    <xdr:to>
      <xdr:col>1</xdr:col>
      <xdr:colOff>752475</xdr:colOff>
      <xdr:row>3</xdr:row>
      <xdr:rowOff>0</xdr:rowOff>
    </xdr:to>
    <xdr:pic>
      <xdr:nvPicPr>
        <xdr:cNvPr id="6" name="Picture 6" descr="F:\download\Yanbu%2527a%2BHijau.jpg">
          <a:extLst>
            <a:ext uri="{FF2B5EF4-FFF2-40B4-BE49-F238E27FC236}">
              <a16:creationId xmlns:a16="http://schemas.microsoft.com/office/drawing/2014/main" id="{FC75CD1E-45D1-43A4-99C8-53E8A8B1CBD9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3000" contrast="6000"/>
        </a:blip>
        <a:srcRect/>
        <a:stretch>
          <a:fillRect/>
        </a:stretch>
      </xdr:blipFill>
      <xdr:spPr bwMode="auto">
        <a:xfrm>
          <a:off x="361951" y="10344150"/>
          <a:ext cx="771524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352426</xdr:colOff>
      <xdr:row>0</xdr:row>
      <xdr:rowOff>85725</xdr:rowOff>
    </xdr:from>
    <xdr:to>
      <xdr:col>1</xdr:col>
      <xdr:colOff>828675</xdr:colOff>
      <xdr:row>3</xdr:row>
      <xdr:rowOff>28575</xdr:rowOff>
    </xdr:to>
    <xdr:pic>
      <xdr:nvPicPr>
        <xdr:cNvPr id="2" name="Picture 1" descr="F:\download\Yanbu%2527a%2BHijau.jpg">
          <a:extLst>
            <a:ext uri="{FF2B5EF4-FFF2-40B4-BE49-F238E27FC236}">
              <a16:creationId xmlns:a16="http://schemas.microsoft.com/office/drawing/2014/main" id="{875D9D13-6196-4C8B-A656-B315AC0B6F00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5000" contrast="6000"/>
        </a:blip>
        <a:srcRect/>
        <a:stretch>
          <a:fillRect/>
        </a:stretch>
      </xdr:blipFill>
      <xdr:spPr bwMode="auto">
        <a:xfrm>
          <a:off x="352426" y="85725"/>
          <a:ext cx="857249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352426</xdr:colOff>
      <xdr:row>0</xdr:row>
      <xdr:rowOff>57149</xdr:rowOff>
    </xdr:from>
    <xdr:to>
      <xdr:col>1</xdr:col>
      <xdr:colOff>838200</xdr:colOff>
      <xdr:row>3</xdr:row>
      <xdr:rowOff>180974</xdr:rowOff>
    </xdr:to>
    <xdr:pic>
      <xdr:nvPicPr>
        <xdr:cNvPr id="2" name="Picture 1" descr="F:\download\Yanbu%2527a%2BHijau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5000" contrast="6000"/>
        </a:blip>
        <a:srcRect/>
        <a:stretch>
          <a:fillRect/>
        </a:stretch>
      </xdr:blipFill>
      <xdr:spPr bwMode="auto">
        <a:xfrm>
          <a:off x="352426" y="57149"/>
          <a:ext cx="866774" cy="923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352426</xdr:colOff>
      <xdr:row>0</xdr:row>
      <xdr:rowOff>85725</xdr:rowOff>
    </xdr:from>
    <xdr:to>
      <xdr:col>1</xdr:col>
      <xdr:colOff>828675</xdr:colOff>
      <xdr:row>3</xdr:row>
      <xdr:rowOff>28575</xdr:rowOff>
    </xdr:to>
    <xdr:pic>
      <xdr:nvPicPr>
        <xdr:cNvPr id="2" name="Picture 1" descr="F:\download\Yanbu%2527a%2BHijau.jpg">
          <a:extLst>
            <a:ext uri="{FF2B5EF4-FFF2-40B4-BE49-F238E27FC236}">
              <a16:creationId xmlns:a16="http://schemas.microsoft.com/office/drawing/2014/main" id="{69DBF4F8-20F4-4DE1-8F3A-4E03259BA4E2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5000" contrast="6000"/>
        </a:blip>
        <a:srcRect/>
        <a:stretch>
          <a:fillRect/>
        </a:stretch>
      </xdr:blipFill>
      <xdr:spPr bwMode="auto">
        <a:xfrm>
          <a:off x="352426" y="85725"/>
          <a:ext cx="857249" cy="685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390525</xdr:colOff>
      <xdr:row>0</xdr:row>
      <xdr:rowOff>180975</xdr:rowOff>
    </xdr:from>
    <xdr:to>
      <xdr:col>1</xdr:col>
      <xdr:colOff>1257299</xdr:colOff>
      <xdr:row>3</xdr:row>
      <xdr:rowOff>38100</xdr:rowOff>
    </xdr:to>
    <xdr:pic>
      <xdr:nvPicPr>
        <xdr:cNvPr id="4" name="Picture 3" descr="F:\download\Yanbu%2527a%2BHijau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7000" contrast="6000"/>
        </a:blip>
        <a:srcRect/>
        <a:stretch>
          <a:fillRect/>
        </a:stretch>
      </xdr:blipFill>
      <xdr:spPr bwMode="auto">
        <a:xfrm>
          <a:off x="771525" y="180975"/>
          <a:ext cx="866774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352426</xdr:colOff>
      <xdr:row>0</xdr:row>
      <xdr:rowOff>85724</xdr:rowOff>
    </xdr:from>
    <xdr:to>
      <xdr:col>1</xdr:col>
      <xdr:colOff>838200</xdr:colOff>
      <xdr:row>2</xdr:row>
      <xdr:rowOff>190499</xdr:rowOff>
    </xdr:to>
    <xdr:pic>
      <xdr:nvPicPr>
        <xdr:cNvPr id="2" name="Picture 1" descr="F:\download\Yanbu%2527a%2BHijau.jpg">
          <a:extLst>
            <a:ext uri="{FF2B5EF4-FFF2-40B4-BE49-F238E27FC236}">
              <a16:creationId xmlns:a16="http://schemas.microsoft.com/office/drawing/2014/main" id="{6CBFCE13-ACDF-44D5-A102-4404C6B58B30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7000" contrast="6000"/>
        </a:blip>
        <a:srcRect/>
        <a:stretch>
          <a:fillRect/>
        </a:stretch>
      </xdr:blipFill>
      <xdr:spPr bwMode="auto">
        <a:xfrm>
          <a:off x="352426" y="85724"/>
          <a:ext cx="866774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57151</xdr:colOff>
      <xdr:row>36</xdr:row>
      <xdr:rowOff>0</xdr:rowOff>
    </xdr:from>
    <xdr:to>
      <xdr:col>1</xdr:col>
      <xdr:colOff>923925</xdr:colOff>
      <xdr:row>38</xdr:row>
      <xdr:rowOff>104775</xdr:rowOff>
    </xdr:to>
    <xdr:pic>
      <xdr:nvPicPr>
        <xdr:cNvPr id="3" name="Picture 3" descr="F:\download\Yanbu%2527a%2BHijau.jpg">
          <a:extLst>
            <a:ext uri="{FF2B5EF4-FFF2-40B4-BE49-F238E27FC236}">
              <a16:creationId xmlns:a16="http://schemas.microsoft.com/office/drawing/2014/main" id="{494A92EB-D97E-4999-8136-ECA930F7CAF9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7000" contrast="6000"/>
        </a:blip>
        <a:srcRect/>
        <a:stretch>
          <a:fillRect/>
        </a:stretch>
      </xdr:blipFill>
      <xdr:spPr bwMode="auto">
        <a:xfrm>
          <a:off x="438151" y="10420349"/>
          <a:ext cx="866774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352426</xdr:colOff>
      <xdr:row>0</xdr:row>
      <xdr:rowOff>85724</xdr:rowOff>
    </xdr:from>
    <xdr:to>
      <xdr:col>1</xdr:col>
      <xdr:colOff>838200</xdr:colOff>
      <xdr:row>2</xdr:row>
      <xdr:rowOff>190499</xdr:rowOff>
    </xdr:to>
    <xdr:pic>
      <xdr:nvPicPr>
        <xdr:cNvPr id="2" name="Picture 1" descr="F:\download\Yanbu%2527a%2BHijau.jp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7000" contrast="6000"/>
        </a:blip>
        <a:srcRect/>
        <a:stretch>
          <a:fillRect/>
        </a:stretch>
      </xdr:blipFill>
      <xdr:spPr bwMode="auto">
        <a:xfrm>
          <a:off x="352426" y="85724"/>
          <a:ext cx="866774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57151</xdr:colOff>
      <xdr:row>38</xdr:row>
      <xdr:rowOff>0</xdr:rowOff>
    </xdr:from>
    <xdr:to>
      <xdr:col>1</xdr:col>
      <xdr:colOff>923925</xdr:colOff>
      <xdr:row>40</xdr:row>
      <xdr:rowOff>104775</xdr:rowOff>
    </xdr:to>
    <xdr:pic>
      <xdr:nvPicPr>
        <xdr:cNvPr id="4" name="Picture 3" descr="F:\download\Yanbu%2527a%2BHijau.jpg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7000" contrast="6000"/>
        </a:blip>
        <a:srcRect/>
        <a:stretch>
          <a:fillRect/>
        </a:stretch>
      </xdr:blipFill>
      <xdr:spPr bwMode="auto">
        <a:xfrm>
          <a:off x="438151" y="6486524"/>
          <a:ext cx="866774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28575</xdr:rowOff>
    </xdr:from>
    <xdr:to>
      <xdr:col>1</xdr:col>
      <xdr:colOff>866775</xdr:colOff>
      <xdr:row>2</xdr:row>
      <xdr:rowOff>28575</xdr:rowOff>
    </xdr:to>
    <xdr:pic>
      <xdr:nvPicPr>
        <xdr:cNvPr id="2" name="Picture 1" descr="F:\download\Yanbu%2527a%2BHijau.jp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3000" contrast="18000"/>
        </a:blip>
        <a:srcRect/>
        <a:stretch>
          <a:fillRect/>
        </a:stretch>
      </xdr:blipFill>
      <xdr:spPr bwMode="auto">
        <a:xfrm>
          <a:off x="314326" y="28575"/>
          <a:ext cx="866774" cy="495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28575</xdr:rowOff>
    </xdr:from>
    <xdr:to>
      <xdr:col>1</xdr:col>
      <xdr:colOff>866775</xdr:colOff>
      <xdr:row>2</xdr:row>
      <xdr:rowOff>28575</xdr:rowOff>
    </xdr:to>
    <xdr:pic>
      <xdr:nvPicPr>
        <xdr:cNvPr id="2" name="Picture 1" descr="F:\download\Yanbu%2527a%2BHijau.jp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lum bright="3000" contrast="18000"/>
        </a:blip>
        <a:srcRect/>
        <a:stretch>
          <a:fillRect/>
        </a:stretch>
      </xdr:blipFill>
      <xdr:spPr bwMode="auto">
        <a:xfrm>
          <a:off x="314326" y="28575"/>
          <a:ext cx="866774" cy="495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160375</xdr:colOff>
      <xdr:row>0</xdr:row>
      <xdr:rowOff>100853</xdr:rowOff>
    </xdr:from>
    <xdr:to>
      <xdr:col>1</xdr:col>
      <xdr:colOff>619524</xdr:colOff>
      <xdr:row>2</xdr:row>
      <xdr:rowOff>216967</xdr:rowOff>
    </xdr:to>
    <xdr:pic>
      <xdr:nvPicPr>
        <xdr:cNvPr id="2" name="Picture 1" descr="Yanbu%2527a%2BHijau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2000" contrast="6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375" y="100853"/>
          <a:ext cx="785720" cy="7420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966107</xdr:colOff>
      <xdr:row>21</xdr:row>
      <xdr:rowOff>13608</xdr:rowOff>
    </xdr:from>
    <xdr:to>
      <xdr:col>2</xdr:col>
      <xdr:colOff>81643</xdr:colOff>
      <xdr:row>25</xdr:row>
      <xdr:rowOff>136072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2678" y="7443108"/>
          <a:ext cx="911679" cy="126546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"/>
  <sheetViews>
    <sheetView workbookViewId="0">
      <selection activeCell="N51" sqref="N51"/>
    </sheetView>
  </sheetViews>
  <sheetFormatPr defaultRowHeight="15" x14ac:dyDescent="0.25"/>
  <cols>
    <col min="1" max="4" width="9.140625" style="38"/>
    <col min="5" max="5" width="18.7109375" style="38" customWidth="1"/>
    <col min="6" max="6" width="1.7109375" style="38" customWidth="1"/>
    <col min="7" max="10" width="9.140625" style="38"/>
    <col min="11" max="11" width="18.7109375" style="38" customWidth="1"/>
    <col min="12" max="16384" width="9.140625" style="38"/>
  </cols>
  <sheetData>
    <row r="1" spans="1:11" x14ac:dyDescent="0.25">
      <c r="A1" s="110" t="s">
        <v>97</v>
      </c>
      <c r="B1" s="111"/>
      <c r="C1" s="111"/>
      <c r="D1" s="111"/>
      <c r="E1" s="112"/>
      <c r="G1" s="110" t="s">
        <v>97</v>
      </c>
      <c r="H1" s="111"/>
      <c r="I1" s="111"/>
      <c r="J1" s="111"/>
      <c r="K1" s="112"/>
    </row>
    <row r="2" spans="1:11" x14ac:dyDescent="0.25">
      <c r="A2" s="113" t="s">
        <v>98</v>
      </c>
      <c r="B2" s="114"/>
      <c r="C2" s="114"/>
      <c r="D2" s="114"/>
      <c r="E2" s="115"/>
      <c r="G2" s="113" t="s">
        <v>98</v>
      </c>
      <c r="H2" s="114"/>
      <c r="I2" s="114"/>
      <c r="J2" s="114"/>
      <c r="K2" s="115"/>
    </row>
    <row r="3" spans="1:11" ht="15.75" thickBot="1" x14ac:dyDescent="0.3">
      <c r="A3" s="116" t="s">
        <v>99</v>
      </c>
      <c r="B3" s="117"/>
      <c r="C3" s="117"/>
      <c r="D3" s="117"/>
      <c r="E3" s="118"/>
      <c r="G3" s="116" t="s">
        <v>99</v>
      </c>
      <c r="H3" s="117"/>
      <c r="I3" s="117"/>
      <c r="J3" s="117"/>
      <c r="K3" s="118"/>
    </row>
    <row r="4" spans="1:11" x14ac:dyDescent="0.25">
      <c r="A4" s="101">
        <v>25</v>
      </c>
      <c r="B4" s="102"/>
      <c r="C4" s="102"/>
      <c r="D4" s="102"/>
      <c r="E4" s="103"/>
      <c r="G4" s="101">
        <v>26</v>
      </c>
      <c r="H4" s="102"/>
      <c r="I4" s="102"/>
      <c r="J4" s="102"/>
      <c r="K4" s="103"/>
    </row>
    <row r="5" spans="1:11" x14ac:dyDescent="0.25">
      <c r="A5" s="104"/>
      <c r="B5" s="105"/>
      <c r="C5" s="105"/>
      <c r="D5" s="105"/>
      <c r="E5" s="106"/>
      <c r="G5" s="104"/>
      <c r="H5" s="105"/>
      <c r="I5" s="105"/>
      <c r="J5" s="105"/>
      <c r="K5" s="106"/>
    </row>
    <row r="6" spans="1:11" x14ac:dyDescent="0.25">
      <c r="A6" s="104"/>
      <c r="B6" s="105"/>
      <c r="C6" s="105"/>
      <c r="D6" s="105"/>
      <c r="E6" s="106"/>
      <c r="G6" s="104"/>
      <c r="H6" s="105"/>
      <c r="I6" s="105"/>
      <c r="J6" s="105"/>
      <c r="K6" s="106"/>
    </row>
    <row r="7" spans="1:11" x14ac:dyDescent="0.25">
      <c r="A7" s="104"/>
      <c r="B7" s="105"/>
      <c r="C7" s="105"/>
      <c r="D7" s="105"/>
      <c r="E7" s="106"/>
      <c r="G7" s="104"/>
      <c r="H7" s="105"/>
      <c r="I7" s="105"/>
      <c r="J7" s="105"/>
      <c r="K7" s="106"/>
    </row>
    <row r="8" spans="1:11" x14ac:dyDescent="0.25">
      <c r="A8" s="104"/>
      <c r="B8" s="105"/>
      <c r="C8" s="105"/>
      <c r="D8" s="105"/>
      <c r="E8" s="106"/>
      <c r="G8" s="104"/>
      <c r="H8" s="105"/>
      <c r="I8" s="105"/>
      <c r="J8" s="105"/>
      <c r="K8" s="106"/>
    </row>
    <row r="9" spans="1:11" x14ac:dyDescent="0.25">
      <c r="A9" s="104"/>
      <c r="B9" s="105"/>
      <c r="C9" s="105"/>
      <c r="D9" s="105"/>
      <c r="E9" s="106"/>
      <c r="G9" s="104"/>
      <c r="H9" s="105"/>
      <c r="I9" s="105"/>
      <c r="J9" s="105"/>
      <c r="K9" s="106"/>
    </row>
    <row r="10" spans="1:11" x14ac:dyDescent="0.25">
      <c r="A10" s="104"/>
      <c r="B10" s="105"/>
      <c r="C10" s="105"/>
      <c r="D10" s="105"/>
      <c r="E10" s="106"/>
      <c r="G10" s="104"/>
      <c r="H10" s="105"/>
      <c r="I10" s="105"/>
      <c r="J10" s="105"/>
      <c r="K10" s="106"/>
    </row>
    <row r="11" spans="1:11" x14ac:dyDescent="0.25">
      <c r="A11" s="104"/>
      <c r="B11" s="105"/>
      <c r="C11" s="105"/>
      <c r="D11" s="105"/>
      <c r="E11" s="106"/>
      <c r="G11" s="104"/>
      <c r="H11" s="105"/>
      <c r="I11" s="105"/>
      <c r="J11" s="105"/>
      <c r="K11" s="106"/>
    </row>
    <row r="12" spans="1:11" x14ac:dyDescent="0.25">
      <c r="A12" s="104"/>
      <c r="B12" s="105"/>
      <c r="C12" s="105"/>
      <c r="D12" s="105"/>
      <c r="E12" s="106"/>
      <c r="G12" s="104"/>
      <c r="H12" s="105"/>
      <c r="I12" s="105"/>
      <c r="J12" s="105"/>
      <c r="K12" s="106"/>
    </row>
    <row r="13" spans="1:11" x14ac:dyDescent="0.25">
      <c r="A13" s="104"/>
      <c r="B13" s="105"/>
      <c r="C13" s="105"/>
      <c r="D13" s="105"/>
      <c r="E13" s="106"/>
      <c r="G13" s="104"/>
      <c r="H13" s="105"/>
      <c r="I13" s="105"/>
      <c r="J13" s="105"/>
      <c r="K13" s="106"/>
    </row>
    <row r="14" spans="1:11" ht="15.75" thickBot="1" x14ac:dyDescent="0.3">
      <c r="A14" s="107"/>
      <c r="B14" s="108"/>
      <c r="C14" s="108"/>
      <c r="D14" s="108"/>
      <c r="E14" s="109"/>
      <c r="G14" s="107"/>
      <c r="H14" s="108"/>
      <c r="I14" s="108"/>
      <c r="J14" s="108"/>
      <c r="K14" s="109"/>
    </row>
    <row r="15" spans="1:11" ht="15.75" thickBot="1" x14ac:dyDescent="0.3"/>
    <row r="16" spans="1:11" x14ac:dyDescent="0.25">
      <c r="A16" s="110" t="s">
        <v>97</v>
      </c>
      <c r="B16" s="111"/>
      <c r="C16" s="111"/>
      <c r="D16" s="111"/>
      <c r="E16" s="112"/>
      <c r="G16" s="110" t="s">
        <v>97</v>
      </c>
      <c r="H16" s="111"/>
      <c r="I16" s="111"/>
      <c r="J16" s="111"/>
      <c r="K16" s="112"/>
    </row>
    <row r="17" spans="1:11" x14ac:dyDescent="0.25">
      <c r="A17" s="113" t="s">
        <v>98</v>
      </c>
      <c r="B17" s="114"/>
      <c r="C17" s="114"/>
      <c r="D17" s="114"/>
      <c r="E17" s="115"/>
      <c r="G17" s="113" t="s">
        <v>98</v>
      </c>
      <c r="H17" s="114"/>
      <c r="I17" s="114"/>
      <c r="J17" s="114"/>
      <c r="K17" s="115"/>
    </row>
    <row r="18" spans="1:11" ht="15.75" thickBot="1" x14ac:dyDescent="0.3">
      <c r="A18" s="116" t="s">
        <v>99</v>
      </c>
      <c r="B18" s="117"/>
      <c r="C18" s="117"/>
      <c r="D18" s="117"/>
      <c r="E18" s="118"/>
      <c r="G18" s="116" t="s">
        <v>99</v>
      </c>
      <c r="H18" s="117"/>
      <c r="I18" s="117"/>
      <c r="J18" s="117"/>
      <c r="K18" s="118"/>
    </row>
    <row r="19" spans="1:11" x14ac:dyDescent="0.25">
      <c r="A19" s="101">
        <v>27</v>
      </c>
      <c r="B19" s="102"/>
      <c r="C19" s="102"/>
      <c r="D19" s="102"/>
      <c r="E19" s="103"/>
      <c r="G19" s="101">
        <v>28</v>
      </c>
      <c r="H19" s="102"/>
      <c r="I19" s="102"/>
      <c r="J19" s="102"/>
      <c r="K19" s="103"/>
    </row>
    <row r="20" spans="1:11" x14ac:dyDescent="0.25">
      <c r="A20" s="104"/>
      <c r="B20" s="105"/>
      <c r="C20" s="105"/>
      <c r="D20" s="105"/>
      <c r="E20" s="106"/>
      <c r="G20" s="104"/>
      <c r="H20" s="105"/>
      <c r="I20" s="105"/>
      <c r="J20" s="105"/>
      <c r="K20" s="106"/>
    </row>
    <row r="21" spans="1:11" x14ac:dyDescent="0.25">
      <c r="A21" s="104"/>
      <c r="B21" s="105"/>
      <c r="C21" s="105"/>
      <c r="D21" s="105"/>
      <c r="E21" s="106"/>
      <c r="G21" s="104"/>
      <c r="H21" s="105"/>
      <c r="I21" s="105"/>
      <c r="J21" s="105"/>
      <c r="K21" s="106"/>
    </row>
    <row r="22" spans="1:11" x14ac:dyDescent="0.25">
      <c r="A22" s="104"/>
      <c r="B22" s="105"/>
      <c r="C22" s="105"/>
      <c r="D22" s="105"/>
      <c r="E22" s="106"/>
      <c r="G22" s="104"/>
      <c r="H22" s="105"/>
      <c r="I22" s="105"/>
      <c r="J22" s="105"/>
      <c r="K22" s="106"/>
    </row>
    <row r="23" spans="1:11" x14ac:dyDescent="0.25">
      <c r="A23" s="104"/>
      <c r="B23" s="105"/>
      <c r="C23" s="105"/>
      <c r="D23" s="105"/>
      <c r="E23" s="106"/>
      <c r="G23" s="104"/>
      <c r="H23" s="105"/>
      <c r="I23" s="105"/>
      <c r="J23" s="105"/>
      <c r="K23" s="106"/>
    </row>
    <row r="24" spans="1:11" x14ac:dyDescent="0.25">
      <c r="A24" s="104"/>
      <c r="B24" s="105"/>
      <c r="C24" s="105"/>
      <c r="D24" s="105"/>
      <c r="E24" s="106"/>
      <c r="G24" s="104"/>
      <c r="H24" s="105"/>
      <c r="I24" s="105"/>
      <c r="J24" s="105"/>
      <c r="K24" s="106"/>
    </row>
    <row r="25" spans="1:11" x14ac:dyDescent="0.25">
      <c r="A25" s="104"/>
      <c r="B25" s="105"/>
      <c r="C25" s="105"/>
      <c r="D25" s="105"/>
      <c r="E25" s="106"/>
      <c r="G25" s="104"/>
      <c r="H25" s="105"/>
      <c r="I25" s="105"/>
      <c r="J25" s="105"/>
      <c r="K25" s="106"/>
    </row>
    <row r="26" spans="1:11" x14ac:dyDescent="0.25">
      <c r="A26" s="104"/>
      <c r="B26" s="105"/>
      <c r="C26" s="105"/>
      <c r="D26" s="105"/>
      <c r="E26" s="106"/>
      <c r="G26" s="104"/>
      <c r="H26" s="105"/>
      <c r="I26" s="105"/>
      <c r="J26" s="105"/>
      <c r="K26" s="106"/>
    </row>
    <row r="27" spans="1:11" x14ac:dyDescent="0.25">
      <c r="A27" s="104"/>
      <c r="B27" s="105"/>
      <c r="C27" s="105"/>
      <c r="D27" s="105"/>
      <c r="E27" s="106"/>
      <c r="G27" s="104"/>
      <c r="H27" s="105"/>
      <c r="I27" s="105"/>
      <c r="J27" s="105"/>
      <c r="K27" s="106"/>
    </row>
    <row r="28" spans="1:11" x14ac:dyDescent="0.25">
      <c r="A28" s="104"/>
      <c r="B28" s="105"/>
      <c r="C28" s="105"/>
      <c r="D28" s="105"/>
      <c r="E28" s="106"/>
      <c r="G28" s="104"/>
      <c r="H28" s="105"/>
      <c r="I28" s="105"/>
      <c r="J28" s="105"/>
      <c r="K28" s="106"/>
    </row>
    <row r="29" spans="1:11" ht="15.75" thickBot="1" x14ac:dyDescent="0.3">
      <c r="A29" s="107"/>
      <c r="B29" s="108"/>
      <c r="C29" s="108"/>
      <c r="D29" s="108"/>
      <c r="E29" s="109"/>
      <c r="G29" s="107"/>
      <c r="H29" s="108"/>
      <c r="I29" s="108"/>
      <c r="J29" s="108"/>
      <c r="K29" s="109"/>
    </row>
    <row r="30" spans="1:11" ht="15.75" thickBot="1" x14ac:dyDescent="0.3"/>
    <row r="31" spans="1:11" x14ac:dyDescent="0.25">
      <c r="A31" s="110" t="s">
        <v>97</v>
      </c>
      <c r="B31" s="111"/>
      <c r="C31" s="111"/>
      <c r="D31" s="111"/>
      <c r="E31" s="112"/>
      <c r="G31" s="110" t="s">
        <v>97</v>
      </c>
      <c r="H31" s="111"/>
      <c r="I31" s="111"/>
      <c r="J31" s="111"/>
      <c r="K31" s="112"/>
    </row>
    <row r="32" spans="1:11" x14ac:dyDescent="0.25">
      <c r="A32" s="113" t="s">
        <v>98</v>
      </c>
      <c r="B32" s="114"/>
      <c r="C32" s="114"/>
      <c r="D32" s="114"/>
      <c r="E32" s="115"/>
      <c r="G32" s="113" t="s">
        <v>98</v>
      </c>
      <c r="H32" s="114"/>
      <c r="I32" s="114"/>
      <c r="J32" s="114"/>
      <c r="K32" s="115"/>
    </row>
    <row r="33" spans="1:11" ht="15.75" thickBot="1" x14ac:dyDescent="0.3">
      <c r="A33" s="116" t="s">
        <v>99</v>
      </c>
      <c r="B33" s="117"/>
      <c r="C33" s="117"/>
      <c r="D33" s="117"/>
      <c r="E33" s="118"/>
      <c r="G33" s="116" t="s">
        <v>99</v>
      </c>
      <c r="H33" s="117"/>
      <c r="I33" s="117"/>
      <c r="J33" s="117"/>
      <c r="K33" s="118"/>
    </row>
    <row r="34" spans="1:11" x14ac:dyDescent="0.25">
      <c r="A34" s="101">
        <v>29</v>
      </c>
      <c r="B34" s="102"/>
      <c r="C34" s="102"/>
      <c r="D34" s="102"/>
      <c r="E34" s="103"/>
      <c r="G34" s="101">
        <v>30</v>
      </c>
      <c r="H34" s="102"/>
      <c r="I34" s="102"/>
      <c r="J34" s="102"/>
      <c r="K34" s="103"/>
    </row>
    <row r="35" spans="1:11" x14ac:dyDescent="0.25">
      <c r="A35" s="104"/>
      <c r="B35" s="105"/>
      <c r="C35" s="105"/>
      <c r="D35" s="105"/>
      <c r="E35" s="106"/>
      <c r="G35" s="104"/>
      <c r="H35" s="105"/>
      <c r="I35" s="105"/>
      <c r="J35" s="105"/>
      <c r="K35" s="106"/>
    </row>
    <row r="36" spans="1:11" x14ac:dyDescent="0.25">
      <c r="A36" s="104"/>
      <c r="B36" s="105"/>
      <c r="C36" s="105"/>
      <c r="D36" s="105"/>
      <c r="E36" s="106"/>
      <c r="G36" s="104"/>
      <c r="H36" s="105"/>
      <c r="I36" s="105"/>
      <c r="J36" s="105"/>
      <c r="K36" s="106"/>
    </row>
    <row r="37" spans="1:11" x14ac:dyDescent="0.25">
      <c r="A37" s="104"/>
      <c r="B37" s="105"/>
      <c r="C37" s="105"/>
      <c r="D37" s="105"/>
      <c r="E37" s="106"/>
      <c r="G37" s="104"/>
      <c r="H37" s="105"/>
      <c r="I37" s="105"/>
      <c r="J37" s="105"/>
      <c r="K37" s="106"/>
    </row>
    <row r="38" spans="1:11" x14ac:dyDescent="0.25">
      <c r="A38" s="104"/>
      <c r="B38" s="105"/>
      <c r="C38" s="105"/>
      <c r="D38" s="105"/>
      <c r="E38" s="106"/>
      <c r="G38" s="104"/>
      <c r="H38" s="105"/>
      <c r="I38" s="105"/>
      <c r="J38" s="105"/>
      <c r="K38" s="106"/>
    </row>
    <row r="39" spans="1:11" x14ac:dyDescent="0.25">
      <c r="A39" s="104"/>
      <c r="B39" s="105"/>
      <c r="C39" s="105"/>
      <c r="D39" s="105"/>
      <c r="E39" s="106"/>
      <c r="G39" s="104"/>
      <c r="H39" s="105"/>
      <c r="I39" s="105"/>
      <c r="J39" s="105"/>
      <c r="K39" s="106"/>
    </row>
    <row r="40" spans="1:11" x14ac:dyDescent="0.25">
      <c r="A40" s="104"/>
      <c r="B40" s="105"/>
      <c r="C40" s="105"/>
      <c r="D40" s="105"/>
      <c r="E40" s="106"/>
      <c r="G40" s="104"/>
      <c r="H40" s="105"/>
      <c r="I40" s="105"/>
      <c r="J40" s="105"/>
      <c r="K40" s="106"/>
    </row>
    <row r="41" spans="1:11" x14ac:dyDescent="0.25">
      <c r="A41" s="104"/>
      <c r="B41" s="105"/>
      <c r="C41" s="105"/>
      <c r="D41" s="105"/>
      <c r="E41" s="106"/>
      <c r="G41" s="104"/>
      <c r="H41" s="105"/>
      <c r="I41" s="105"/>
      <c r="J41" s="105"/>
      <c r="K41" s="106"/>
    </row>
    <row r="42" spans="1:11" x14ac:dyDescent="0.25">
      <c r="A42" s="104"/>
      <c r="B42" s="105"/>
      <c r="C42" s="105"/>
      <c r="D42" s="105"/>
      <c r="E42" s="106"/>
      <c r="G42" s="104"/>
      <c r="H42" s="105"/>
      <c r="I42" s="105"/>
      <c r="J42" s="105"/>
      <c r="K42" s="106"/>
    </row>
    <row r="43" spans="1:11" x14ac:dyDescent="0.25">
      <c r="A43" s="104"/>
      <c r="B43" s="105"/>
      <c r="C43" s="105"/>
      <c r="D43" s="105"/>
      <c r="E43" s="106"/>
      <c r="G43" s="104"/>
      <c r="H43" s="105"/>
      <c r="I43" s="105"/>
      <c r="J43" s="105"/>
      <c r="K43" s="106"/>
    </row>
    <row r="44" spans="1:11" ht="15.75" thickBot="1" x14ac:dyDescent="0.3">
      <c r="A44" s="107"/>
      <c r="B44" s="108"/>
      <c r="C44" s="108"/>
      <c r="D44" s="108"/>
      <c r="E44" s="109"/>
      <c r="G44" s="107"/>
      <c r="H44" s="108"/>
      <c r="I44" s="108"/>
      <c r="J44" s="108"/>
      <c r="K44" s="109"/>
    </row>
    <row r="45" spans="1:11" ht="15.75" thickBot="1" x14ac:dyDescent="0.3"/>
    <row r="46" spans="1:11" x14ac:dyDescent="0.25">
      <c r="A46" s="110" t="s">
        <v>97</v>
      </c>
      <c r="B46" s="111"/>
      <c r="C46" s="111"/>
      <c r="D46" s="111"/>
      <c r="E46" s="112"/>
      <c r="G46" s="110" t="s">
        <v>97</v>
      </c>
      <c r="H46" s="111"/>
      <c r="I46" s="111"/>
      <c r="J46" s="111"/>
      <c r="K46" s="112"/>
    </row>
    <row r="47" spans="1:11" x14ac:dyDescent="0.25">
      <c r="A47" s="113" t="s">
        <v>98</v>
      </c>
      <c r="B47" s="114"/>
      <c r="C47" s="114"/>
      <c r="D47" s="114"/>
      <c r="E47" s="115"/>
      <c r="G47" s="113" t="s">
        <v>98</v>
      </c>
      <c r="H47" s="114"/>
      <c r="I47" s="114"/>
      <c r="J47" s="114"/>
      <c r="K47" s="115"/>
    </row>
    <row r="48" spans="1:11" ht="15.75" thickBot="1" x14ac:dyDescent="0.3">
      <c r="A48" s="116" t="s">
        <v>99</v>
      </c>
      <c r="B48" s="117"/>
      <c r="C48" s="117"/>
      <c r="D48" s="117"/>
      <c r="E48" s="118"/>
      <c r="G48" s="116" t="s">
        <v>99</v>
      </c>
      <c r="H48" s="117"/>
      <c r="I48" s="117"/>
      <c r="J48" s="117"/>
      <c r="K48" s="118"/>
    </row>
    <row r="49" spans="1:11" x14ac:dyDescent="0.25">
      <c r="A49" s="101">
        <v>31</v>
      </c>
      <c r="B49" s="102"/>
      <c r="C49" s="102"/>
      <c r="D49" s="102"/>
      <c r="E49" s="103"/>
      <c r="G49" s="101">
        <v>16</v>
      </c>
      <c r="H49" s="102"/>
      <c r="I49" s="102"/>
      <c r="J49" s="102"/>
      <c r="K49" s="103"/>
    </row>
    <row r="50" spans="1:11" x14ac:dyDescent="0.25">
      <c r="A50" s="104"/>
      <c r="B50" s="105"/>
      <c r="C50" s="105"/>
      <c r="D50" s="105"/>
      <c r="E50" s="106"/>
      <c r="G50" s="104"/>
      <c r="H50" s="105"/>
      <c r="I50" s="105"/>
      <c r="J50" s="105"/>
      <c r="K50" s="106"/>
    </row>
    <row r="51" spans="1:11" x14ac:dyDescent="0.25">
      <c r="A51" s="104"/>
      <c r="B51" s="105"/>
      <c r="C51" s="105"/>
      <c r="D51" s="105"/>
      <c r="E51" s="106"/>
      <c r="G51" s="104"/>
      <c r="H51" s="105"/>
      <c r="I51" s="105"/>
      <c r="J51" s="105"/>
      <c r="K51" s="106"/>
    </row>
    <row r="52" spans="1:11" x14ac:dyDescent="0.25">
      <c r="A52" s="104"/>
      <c r="B52" s="105"/>
      <c r="C52" s="105"/>
      <c r="D52" s="105"/>
      <c r="E52" s="106"/>
      <c r="G52" s="104"/>
      <c r="H52" s="105"/>
      <c r="I52" s="105"/>
      <c r="J52" s="105"/>
      <c r="K52" s="106"/>
    </row>
    <row r="53" spans="1:11" x14ac:dyDescent="0.25">
      <c r="A53" s="104"/>
      <c r="B53" s="105"/>
      <c r="C53" s="105"/>
      <c r="D53" s="105"/>
      <c r="E53" s="106"/>
      <c r="G53" s="104"/>
      <c r="H53" s="105"/>
      <c r="I53" s="105"/>
      <c r="J53" s="105"/>
      <c r="K53" s="106"/>
    </row>
    <row r="54" spans="1:11" x14ac:dyDescent="0.25">
      <c r="A54" s="104"/>
      <c r="B54" s="105"/>
      <c r="C54" s="105"/>
      <c r="D54" s="105"/>
      <c r="E54" s="106"/>
      <c r="G54" s="104"/>
      <c r="H54" s="105"/>
      <c r="I54" s="105"/>
      <c r="J54" s="105"/>
      <c r="K54" s="106"/>
    </row>
    <row r="55" spans="1:11" x14ac:dyDescent="0.25">
      <c r="A55" s="104"/>
      <c r="B55" s="105"/>
      <c r="C55" s="105"/>
      <c r="D55" s="105"/>
      <c r="E55" s="106"/>
      <c r="G55" s="104"/>
      <c r="H55" s="105"/>
      <c r="I55" s="105"/>
      <c r="J55" s="105"/>
      <c r="K55" s="106"/>
    </row>
    <row r="56" spans="1:11" x14ac:dyDescent="0.25">
      <c r="A56" s="104"/>
      <c r="B56" s="105"/>
      <c r="C56" s="105"/>
      <c r="D56" s="105"/>
      <c r="E56" s="106"/>
      <c r="G56" s="104"/>
      <c r="H56" s="105"/>
      <c r="I56" s="105"/>
      <c r="J56" s="105"/>
      <c r="K56" s="106"/>
    </row>
    <row r="57" spans="1:11" x14ac:dyDescent="0.25">
      <c r="A57" s="104"/>
      <c r="B57" s="105"/>
      <c r="C57" s="105"/>
      <c r="D57" s="105"/>
      <c r="E57" s="106"/>
      <c r="G57" s="104"/>
      <c r="H57" s="105"/>
      <c r="I57" s="105"/>
      <c r="J57" s="105"/>
      <c r="K57" s="106"/>
    </row>
    <row r="58" spans="1:11" x14ac:dyDescent="0.25">
      <c r="A58" s="104"/>
      <c r="B58" s="105"/>
      <c r="C58" s="105"/>
      <c r="D58" s="105"/>
      <c r="E58" s="106"/>
      <c r="G58" s="104"/>
      <c r="H58" s="105"/>
      <c r="I58" s="105"/>
      <c r="J58" s="105"/>
      <c r="K58" s="106"/>
    </row>
    <row r="59" spans="1:11" ht="15.75" thickBot="1" x14ac:dyDescent="0.3">
      <c r="A59" s="107"/>
      <c r="B59" s="108"/>
      <c r="C59" s="108"/>
      <c r="D59" s="108"/>
      <c r="E59" s="109"/>
      <c r="G59" s="107"/>
      <c r="H59" s="108"/>
      <c r="I59" s="108"/>
      <c r="J59" s="108"/>
      <c r="K59" s="109"/>
    </row>
  </sheetData>
  <mergeCells count="32">
    <mergeCell ref="A1:E1"/>
    <mergeCell ref="G1:K1"/>
    <mergeCell ref="A2:E2"/>
    <mergeCell ref="G2:K2"/>
    <mergeCell ref="A3:E3"/>
    <mergeCell ref="G3:K3"/>
    <mergeCell ref="A4:E14"/>
    <mergeCell ref="G4:K14"/>
    <mergeCell ref="A16:E16"/>
    <mergeCell ref="G16:K16"/>
    <mergeCell ref="A17:E17"/>
    <mergeCell ref="G17:K17"/>
    <mergeCell ref="A18:E18"/>
    <mergeCell ref="G18:K18"/>
    <mergeCell ref="A19:E29"/>
    <mergeCell ref="G19:K29"/>
    <mergeCell ref="A31:E31"/>
    <mergeCell ref="G31:K31"/>
    <mergeCell ref="A32:E32"/>
    <mergeCell ref="G32:K32"/>
    <mergeCell ref="A33:E33"/>
    <mergeCell ref="G33:K33"/>
    <mergeCell ref="A34:E44"/>
    <mergeCell ref="G34:K44"/>
    <mergeCell ref="A49:E59"/>
    <mergeCell ref="G49:K59"/>
    <mergeCell ref="A46:E46"/>
    <mergeCell ref="G46:K46"/>
    <mergeCell ref="A47:E47"/>
    <mergeCell ref="G47:K47"/>
    <mergeCell ref="A48:E48"/>
    <mergeCell ref="G48:K48"/>
  </mergeCells>
  <pageMargins left="7.874015748031496E-2" right="7.874015748031496E-2" top="0.19685039370078741" bottom="0.19685039370078741" header="0.31496062992125984" footer="0.31496062992125984"/>
  <pageSetup paperSize="256" scale="9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9"/>
  <sheetViews>
    <sheetView zoomScale="75" zoomScaleNormal="75" workbookViewId="0">
      <selection activeCell="I5" sqref="I5"/>
    </sheetView>
  </sheetViews>
  <sheetFormatPr defaultRowHeight="15" x14ac:dyDescent="0.25"/>
  <cols>
    <col min="1" max="1" width="5.7109375" customWidth="1"/>
    <col min="2" max="2" width="30" customWidth="1"/>
    <col min="3" max="3" width="22.85546875" customWidth="1"/>
  </cols>
  <sheetData>
    <row r="1" spans="1:7" x14ac:dyDescent="0.25">
      <c r="A1" s="119" t="s">
        <v>1</v>
      </c>
      <c r="B1" s="119" t="s">
        <v>2</v>
      </c>
      <c r="C1" s="119" t="s">
        <v>3</v>
      </c>
      <c r="G1" t="s">
        <v>91</v>
      </c>
    </row>
    <row r="2" spans="1:7" x14ac:dyDescent="0.25">
      <c r="A2" s="119"/>
      <c r="B2" s="119"/>
      <c r="C2" s="119"/>
    </row>
    <row r="3" spans="1:7" x14ac:dyDescent="0.25">
      <c r="A3" s="119"/>
      <c r="B3" s="119"/>
      <c r="C3" s="119"/>
    </row>
    <row r="4" spans="1:7" ht="15.75" x14ac:dyDescent="0.25">
      <c r="A4" s="4">
        <v>1</v>
      </c>
      <c r="B4" s="30" t="s">
        <v>65</v>
      </c>
      <c r="C4" s="3" t="s">
        <v>9</v>
      </c>
    </row>
    <row r="5" spans="1:7" ht="15.75" x14ac:dyDescent="0.25">
      <c r="A5" s="4">
        <v>2</v>
      </c>
      <c r="B5" s="30" t="s">
        <v>64</v>
      </c>
      <c r="C5" s="3" t="s">
        <v>9</v>
      </c>
    </row>
    <row r="6" spans="1:7" ht="15.75" x14ac:dyDescent="0.25">
      <c r="A6" s="4">
        <v>3</v>
      </c>
      <c r="B6" s="34" t="s">
        <v>84</v>
      </c>
      <c r="C6" s="3" t="s">
        <v>9</v>
      </c>
    </row>
    <row r="7" spans="1:7" ht="15.75" x14ac:dyDescent="0.25">
      <c r="A7" s="4">
        <v>4</v>
      </c>
      <c r="B7" s="34" t="s">
        <v>78</v>
      </c>
      <c r="C7" s="3" t="s">
        <v>9</v>
      </c>
    </row>
    <row r="8" spans="1:7" ht="15.75" x14ac:dyDescent="0.25">
      <c r="A8" s="4">
        <v>5</v>
      </c>
      <c r="B8" s="34" t="s">
        <v>77</v>
      </c>
      <c r="C8" s="3" t="s">
        <v>9</v>
      </c>
    </row>
    <row r="9" spans="1:7" ht="15.75" x14ac:dyDescent="0.25">
      <c r="A9" s="4">
        <v>6</v>
      </c>
      <c r="B9" s="34" t="s">
        <v>72</v>
      </c>
      <c r="C9" s="3" t="s">
        <v>9</v>
      </c>
    </row>
    <row r="10" spans="1:7" ht="15.75" x14ac:dyDescent="0.25">
      <c r="A10" s="4">
        <v>7</v>
      </c>
      <c r="B10" s="34" t="s">
        <v>88</v>
      </c>
      <c r="C10" s="3" t="s">
        <v>9</v>
      </c>
    </row>
    <row r="11" spans="1:7" ht="15.75" x14ac:dyDescent="0.25">
      <c r="A11" s="4">
        <v>8</v>
      </c>
      <c r="B11" s="34" t="s">
        <v>92</v>
      </c>
      <c r="C11" s="3" t="s">
        <v>9</v>
      </c>
    </row>
    <row r="12" spans="1:7" ht="15.75" x14ac:dyDescent="0.25">
      <c r="A12" s="4">
        <v>9</v>
      </c>
      <c r="B12" s="30" t="s">
        <v>68</v>
      </c>
      <c r="C12" s="3" t="s">
        <v>9</v>
      </c>
    </row>
    <row r="13" spans="1:7" ht="15.75" x14ac:dyDescent="0.25">
      <c r="A13" s="4">
        <v>10</v>
      </c>
      <c r="B13" s="34" t="s">
        <v>87</v>
      </c>
      <c r="C13" s="3" t="s">
        <v>9</v>
      </c>
    </row>
    <row r="14" spans="1:7" ht="15.75" x14ac:dyDescent="0.25">
      <c r="A14" s="4">
        <v>11</v>
      </c>
      <c r="B14" s="34" t="s">
        <v>86</v>
      </c>
      <c r="C14" s="3" t="s">
        <v>9</v>
      </c>
    </row>
    <row r="15" spans="1:7" ht="15.75" x14ac:dyDescent="0.25">
      <c r="A15" s="4">
        <v>12</v>
      </c>
      <c r="B15" s="34" t="s">
        <v>76</v>
      </c>
      <c r="C15" s="3" t="s">
        <v>9</v>
      </c>
    </row>
    <row r="16" spans="1:7" ht="15.75" x14ac:dyDescent="0.25">
      <c r="A16" s="4">
        <v>13</v>
      </c>
      <c r="B16" s="34" t="s">
        <v>83</v>
      </c>
      <c r="C16" s="3" t="s">
        <v>9</v>
      </c>
    </row>
    <row r="17" spans="1:3" ht="15.75" x14ac:dyDescent="0.25">
      <c r="A17" s="4">
        <v>14</v>
      </c>
      <c r="B17" s="30" t="s">
        <v>66</v>
      </c>
      <c r="C17" s="3" t="s">
        <v>9</v>
      </c>
    </row>
    <row r="18" spans="1:3" ht="15.75" x14ac:dyDescent="0.25">
      <c r="A18" s="4">
        <v>15</v>
      </c>
      <c r="B18" s="30" t="s">
        <v>70</v>
      </c>
      <c r="C18" s="3" t="s">
        <v>9</v>
      </c>
    </row>
    <row r="19" spans="1:3" ht="15.75" x14ac:dyDescent="0.25">
      <c r="A19" s="4">
        <v>16</v>
      </c>
      <c r="B19" s="30" t="s">
        <v>69</v>
      </c>
      <c r="C19" s="3" t="s">
        <v>9</v>
      </c>
    </row>
    <row r="20" spans="1:3" ht="15.75" x14ac:dyDescent="0.25">
      <c r="A20" s="4">
        <v>17</v>
      </c>
      <c r="B20" s="34" t="s">
        <v>85</v>
      </c>
      <c r="C20" s="3" t="s">
        <v>9</v>
      </c>
    </row>
    <row r="21" spans="1:3" ht="15.75" x14ac:dyDescent="0.25">
      <c r="A21" s="4">
        <v>18</v>
      </c>
      <c r="B21" s="34" t="s">
        <v>80</v>
      </c>
      <c r="C21" s="3" t="s">
        <v>9</v>
      </c>
    </row>
    <row r="22" spans="1:3" ht="15.75" x14ac:dyDescent="0.25">
      <c r="A22" s="4">
        <v>19</v>
      </c>
      <c r="B22" s="30" t="s">
        <v>95</v>
      </c>
      <c r="C22" s="3" t="s">
        <v>9</v>
      </c>
    </row>
    <row r="23" spans="1:3" ht="15.75" x14ac:dyDescent="0.25">
      <c r="A23" s="4">
        <v>20</v>
      </c>
      <c r="B23" s="34" t="s">
        <v>74</v>
      </c>
      <c r="C23" s="3" t="s">
        <v>9</v>
      </c>
    </row>
    <row r="24" spans="1:3" ht="15.75" x14ac:dyDescent="0.25">
      <c r="A24" s="4">
        <v>21</v>
      </c>
      <c r="B24" s="34" t="s">
        <v>81</v>
      </c>
      <c r="C24" s="3" t="s">
        <v>9</v>
      </c>
    </row>
    <row r="25" spans="1:3" ht="15.75" x14ac:dyDescent="0.25">
      <c r="A25" s="4">
        <v>22</v>
      </c>
      <c r="B25" s="34" t="s">
        <v>90</v>
      </c>
      <c r="C25" s="3" t="s">
        <v>9</v>
      </c>
    </row>
    <row r="26" spans="1:3" ht="15.75" x14ac:dyDescent="0.25">
      <c r="A26" s="4">
        <v>23</v>
      </c>
      <c r="B26" s="30" t="s">
        <v>75</v>
      </c>
      <c r="C26" s="3" t="s">
        <v>9</v>
      </c>
    </row>
    <row r="27" spans="1:3" ht="15.75" x14ac:dyDescent="0.25">
      <c r="A27" s="4">
        <v>24</v>
      </c>
      <c r="B27" s="34" t="s">
        <v>71</v>
      </c>
      <c r="C27" s="3" t="s">
        <v>9</v>
      </c>
    </row>
    <row r="28" spans="1:3" ht="15.75" x14ac:dyDescent="0.25">
      <c r="A28" s="4">
        <v>25</v>
      </c>
      <c r="B28" s="30" t="s">
        <v>93</v>
      </c>
      <c r="C28" s="3" t="s">
        <v>9</v>
      </c>
    </row>
    <row r="29" spans="1:3" ht="15.75" x14ac:dyDescent="0.25">
      <c r="A29" s="4">
        <v>26</v>
      </c>
      <c r="B29" s="30" t="s">
        <v>73</v>
      </c>
      <c r="C29" s="3" t="s">
        <v>9</v>
      </c>
    </row>
    <row r="30" spans="1:3" ht="15.75" x14ac:dyDescent="0.25">
      <c r="A30" s="4">
        <v>27</v>
      </c>
      <c r="B30" s="34" t="s">
        <v>82</v>
      </c>
      <c r="C30" s="3" t="s">
        <v>9</v>
      </c>
    </row>
    <row r="31" spans="1:3" ht="15.75" x14ac:dyDescent="0.25">
      <c r="A31" s="4">
        <v>28</v>
      </c>
      <c r="B31" s="34" t="s">
        <v>79</v>
      </c>
      <c r="C31" s="3" t="s">
        <v>9</v>
      </c>
    </row>
    <row r="32" spans="1:3" ht="15.75" x14ac:dyDescent="0.25">
      <c r="A32" s="4">
        <v>29</v>
      </c>
      <c r="B32" s="34" t="s">
        <v>94</v>
      </c>
      <c r="C32" s="3" t="s">
        <v>9</v>
      </c>
    </row>
    <row r="33" spans="1:3" ht="15.75" x14ac:dyDescent="0.25">
      <c r="A33" s="4">
        <v>30</v>
      </c>
      <c r="B33" s="30" t="s">
        <v>67</v>
      </c>
      <c r="C33" s="3" t="s">
        <v>9</v>
      </c>
    </row>
    <row r="34" spans="1:3" ht="15.75" x14ac:dyDescent="0.25">
      <c r="A34" s="4">
        <v>31</v>
      </c>
      <c r="B34" s="34" t="s">
        <v>89</v>
      </c>
      <c r="C34" s="3" t="s">
        <v>9</v>
      </c>
    </row>
    <row r="35" spans="1:3" ht="15.75" x14ac:dyDescent="0.25">
      <c r="A35" s="4">
        <v>32</v>
      </c>
      <c r="B35" s="12"/>
      <c r="C35" s="3" t="s">
        <v>9</v>
      </c>
    </row>
    <row r="36" spans="1:3" ht="15.75" x14ac:dyDescent="0.25">
      <c r="A36" s="4">
        <v>33</v>
      </c>
      <c r="B36" s="12"/>
      <c r="C36" s="3" t="s">
        <v>9</v>
      </c>
    </row>
    <row r="37" spans="1:3" ht="15.75" x14ac:dyDescent="0.25">
      <c r="A37" s="4">
        <v>34</v>
      </c>
      <c r="B37" s="12"/>
      <c r="C37" s="3" t="s">
        <v>9</v>
      </c>
    </row>
    <row r="38" spans="1:3" ht="15.75" x14ac:dyDescent="0.25">
      <c r="A38" s="4">
        <v>35</v>
      </c>
      <c r="B38" s="12"/>
      <c r="C38" s="3" t="s">
        <v>9</v>
      </c>
    </row>
    <row r="39" spans="1:3" ht="15.75" x14ac:dyDescent="0.25">
      <c r="A39" s="4">
        <v>36</v>
      </c>
    </row>
  </sheetData>
  <sortState xmlns:xlrd2="http://schemas.microsoft.com/office/spreadsheetml/2017/richdata2" ref="B4:B34">
    <sortCondition ref="B34"/>
  </sortState>
  <mergeCells count="3">
    <mergeCell ref="A1:A3"/>
    <mergeCell ref="B1:B3"/>
    <mergeCell ref="C1:C3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H29"/>
  <sheetViews>
    <sheetView tabSelected="1" topLeftCell="A10" zoomScale="55" zoomScaleNormal="55" workbookViewId="0"/>
  </sheetViews>
  <sheetFormatPr defaultRowHeight="15" x14ac:dyDescent="0.25"/>
  <cols>
    <col min="1" max="1" width="15.7109375" style="66" customWidth="1"/>
    <col min="2" max="2" width="25.42578125" style="66" customWidth="1"/>
    <col min="3" max="3" width="3.5703125" style="66" customWidth="1"/>
    <col min="4" max="4" width="34.7109375" style="66" customWidth="1"/>
    <col min="5" max="5" width="5" style="66" customWidth="1"/>
    <col min="6" max="6" width="16.85546875" style="66" customWidth="1"/>
    <col min="7" max="16384" width="9.140625" style="66"/>
  </cols>
  <sheetData>
    <row r="1" spans="2:8" ht="15.75" thickBot="1" x14ac:dyDescent="0.3">
      <c r="B1" s="123"/>
      <c r="C1" s="123"/>
      <c r="D1" s="123"/>
      <c r="E1" s="123"/>
    </row>
    <row r="2" spans="2:8" ht="54.75" customHeight="1" thickBot="1" x14ac:dyDescent="0.3">
      <c r="B2" s="123"/>
      <c r="C2" s="123"/>
      <c r="D2" s="123"/>
      <c r="E2" s="123"/>
      <c r="H2" s="175">
        <v>6</v>
      </c>
    </row>
    <row r="3" spans="2:8" ht="39" customHeight="1" x14ac:dyDescent="0.25">
      <c r="B3" s="126" t="s">
        <v>140</v>
      </c>
      <c r="C3" s="126"/>
      <c r="D3" s="126"/>
      <c r="E3" s="126"/>
    </row>
    <row r="4" spans="2:8" ht="30" customHeight="1" x14ac:dyDescent="0.25">
      <c r="B4" s="122" t="s">
        <v>141</v>
      </c>
      <c r="C4" s="122"/>
      <c r="D4" s="122"/>
      <c r="E4" s="122"/>
    </row>
    <row r="5" spans="2:8" ht="10.5" customHeight="1" x14ac:dyDescent="0.25">
      <c r="B5" s="123"/>
      <c r="C5" s="123"/>
      <c r="D5" s="123"/>
      <c r="E5" s="123"/>
    </row>
    <row r="6" spans="2:8" ht="16.5" customHeight="1" x14ac:dyDescent="0.25">
      <c r="B6" s="124" t="s">
        <v>142</v>
      </c>
      <c r="C6" s="124"/>
      <c r="D6" s="124"/>
      <c r="E6" s="124"/>
    </row>
    <row r="7" spans="2:8" ht="16.5" customHeight="1" x14ac:dyDescent="0.25">
      <c r="B7" s="124" t="s">
        <v>143</v>
      </c>
      <c r="C7" s="124"/>
      <c r="D7" s="124"/>
      <c r="E7" s="124"/>
    </row>
    <row r="8" spans="2:8" ht="16.5" customHeight="1" x14ac:dyDescent="0.25">
      <c r="B8" s="124" t="s">
        <v>144</v>
      </c>
      <c r="C8" s="124"/>
      <c r="D8" s="124"/>
      <c r="E8" s="124"/>
    </row>
    <row r="9" spans="2:8" ht="16.5" customHeight="1" x14ac:dyDescent="0.25">
      <c r="B9" s="124" t="s">
        <v>145</v>
      </c>
      <c r="C9" s="124"/>
      <c r="D9" s="124"/>
      <c r="E9" s="124"/>
    </row>
    <row r="10" spans="2:8" ht="25.5" customHeight="1" x14ac:dyDescent="0.25"/>
    <row r="11" spans="2:8" ht="49.5" customHeight="1" x14ac:dyDescent="0.25">
      <c r="B11" s="127" t="str">
        <f>CONCATENATE("Nomor : ",VLOOKUP(H2,'Data '!$A$2:$L$22,11,0))</f>
        <v>Nomor : LMY-LB/RTQ-U3/006/09/10/2025</v>
      </c>
      <c r="C11" s="127"/>
      <c r="D11" s="127"/>
      <c r="E11" s="127"/>
    </row>
    <row r="12" spans="2:8" ht="120" customHeight="1" x14ac:dyDescent="0.25">
      <c r="B12" s="128" t="s">
        <v>235</v>
      </c>
      <c r="C12" s="128"/>
      <c r="D12" s="128"/>
      <c r="E12" s="128"/>
    </row>
    <row r="13" spans="2:8" ht="20.25" customHeight="1" x14ac:dyDescent="0.25"/>
    <row r="14" spans="2:8" ht="27" customHeight="1" x14ac:dyDescent="0.25">
      <c r="B14" s="120" t="str">
        <f>VLOOKUP(H2,'Data '!$A$2:$K$22,3,0)</f>
        <v>Renoval Faiz Al Ghifari</v>
      </c>
      <c r="C14" s="120"/>
      <c r="D14" s="120"/>
      <c r="E14" s="120"/>
    </row>
    <row r="16" spans="2:8" ht="24.95" customHeight="1" x14ac:dyDescent="0.25">
      <c r="B16" s="95" t="str">
        <f>IF(VLOOKUP(H2,'Data '!$A$2:$J$22,5,0)="L","Bin","Binti")</f>
        <v>Bin</v>
      </c>
      <c r="C16" s="96" t="s">
        <v>121</v>
      </c>
      <c r="D16" s="93" t="str">
        <f>VLOOKUP(H2,'Data '!$A$2:$K$22,6,0)</f>
        <v>Agus Hariyanto</v>
      </c>
      <c r="E16" s="94"/>
    </row>
    <row r="17" spans="2:5" ht="24.95" customHeight="1" x14ac:dyDescent="0.25">
      <c r="B17" s="95" t="s">
        <v>146</v>
      </c>
      <c r="C17" s="96" t="s">
        <v>121</v>
      </c>
      <c r="D17" s="125" t="str">
        <f>VLOOKUP(H2,'Data '!$A$2:$K$22,4,0)</f>
        <v>Tambak Jaya, 06 September 2013</v>
      </c>
      <c r="E17" s="125"/>
    </row>
    <row r="18" spans="2:5" ht="24.95" customHeight="1" x14ac:dyDescent="0.25">
      <c r="B18" s="95" t="s">
        <v>147</v>
      </c>
      <c r="C18" s="96" t="s">
        <v>121</v>
      </c>
      <c r="D18" s="93" t="str">
        <f>VLOOKUP(H2,'Data '!$A$2:$K$22,9,0)</f>
        <v>0008</v>
      </c>
      <c r="E18" s="94"/>
    </row>
    <row r="19" spans="2:5" ht="51.75" customHeight="1" x14ac:dyDescent="0.25">
      <c r="B19" s="67" t="s">
        <v>106</v>
      </c>
      <c r="C19" s="68" t="s">
        <v>121</v>
      </c>
      <c r="D19" s="69" t="str">
        <f>VLOOKUP(H2,'Data '!$A$2:$K$22,8,0)</f>
        <v>Margo Mulyo, Tambak Jaya Kec. Way Tenong Kab. Lampung Barat</v>
      </c>
    </row>
    <row r="20" spans="2:5" ht="39.75" customHeight="1" x14ac:dyDescent="0.25"/>
    <row r="21" spans="2:5" ht="68.25" customHeight="1" x14ac:dyDescent="0.25">
      <c r="B21" s="121" t="s">
        <v>234</v>
      </c>
      <c r="C21" s="121"/>
      <c r="D21" s="121"/>
      <c r="E21" s="121"/>
    </row>
    <row r="22" spans="2:5" ht="18" customHeight="1" x14ac:dyDescent="0.25"/>
    <row r="23" spans="2:5" ht="15.75" x14ac:dyDescent="0.25">
      <c r="D23" s="70" t="s">
        <v>232</v>
      </c>
    </row>
    <row r="24" spans="2:5" ht="15.75" x14ac:dyDescent="0.25">
      <c r="D24" s="70" t="s">
        <v>148</v>
      </c>
    </row>
    <row r="25" spans="2:5" ht="15.75" x14ac:dyDescent="0.25">
      <c r="D25" s="70"/>
    </row>
    <row r="26" spans="2:5" ht="15.75" x14ac:dyDescent="0.25">
      <c r="D26" s="70"/>
    </row>
    <row r="27" spans="2:5" ht="15.75" x14ac:dyDescent="0.25">
      <c r="D27" s="70"/>
    </row>
    <row r="28" spans="2:5" ht="15.75" x14ac:dyDescent="0.25">
      <c r="D28" s="70"/>
    </row>
    <row r="29" spans="2:5" ht="16.5" x14ac:dyDescent="0.25">
      <c r="D29" s="71" t="s">
        <v>149</v>
      </c>
    </row>
  </sheetData>
  <mergeCells count="14">
    <mergeCell ref="B3:E3"/>
    <mergeCell ref="B1:E1"/>
    <mergeCell ref="B2:E2"/>
    <mergeCell ref="B11:E11"/>
    <mergeCell ref="B12:E12"/>
    <mergeCell ref="B14:E14"/>
    <mergeCell ref="B21:E21"/>
    <mergeCell ref="B4:E4"/>
    <mergeCell ref="B5:E5"/>
    <mergeCell ref="B6:E6"/>
    <mergeCell ref="B7:E7"/>
    <mergeCell ref="B8:E8"/>
    <mergeCell ref="B9:E9"/>
    <mergeCell ref="D17:E17"/>
  </mergeCells>
  <pageMargins left="0.25" right="0.25" top="0.75" bottom="0.75" header="0.3" footer="0.3"/>
  <pageSetup paperSize="10000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33" r:id="rId4" name="Spinner 1">
              <controlPr defaultSize="0" autoPict="0">
                <anchor moveWithCells="1" sizeWithCells="1">
                  <from>
                    <xdr:col>8</xdr:col>
                    <xdr:colOff>123825</xdr:colOff>
                    <xdr:row>1</xdr:row>
                    <xdr:rowOff>38100</xdr:rowOff>
                  </from>
                  <to>
                    <xdr:col>9</xdr:col>
                    <xdr:colOff>276225</xdr:colOff>
                    <xdr:row>2</xdr:row>
                    <xdr:rowOff>276225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W44"/>
  <sheetViews>
    <sheetView topLeftCell="A4" zoomScale="85" zoomScaleNormal="85" workbookViewId="0">
      <selection activeCell="I19" sqref="I19"/>
    </sheetView>
  </sheetViews>
  <sheetFormatPr defaultRowHeight="15" x14ac:dyDescent="0.25"/>
  <cols>
    <col min="1" max="1" width="9" style="72" customWidth="1"/>
    <col min="2" max="2" width="5.5703125" style="72" customWidth="1"/>
    <col min="3" max="3" width="25.140625" style="72" customWidth="1"/>
    <col min="4" max="4" width="1" style="72" customWidth="1"/>
    <col min="5" max="5" width="11.140625" style="72" customWidth="1"/>
    <col min="6" max="6" width="26.140625" style="72" customWidth="1"/>
    <col min="7" max="16384" width="9.140625" style="72"/>
  </cols>
  <sheetData>
    <row r="1" spans="1:23" ht="15.75" x14ac:dyDescent="0.25">
      <c r="A1" s="75"/>
      <c r="B1" s="75"/>
      <c r="C1" s="75"/>
      <c r="D1" s="75"/>
      <c r="E1" s="75"/>
      <c r="F1" s="75"/>
      <c r="G1" s="75"/>
    </row>
    <row r="2" spans="1:23" ht="15.75" x14ac:dyDescent="0.25">
      <c r="A2" s="75"/>
      <c r="B2" s="75"/>
      <c r="C2" s="75"/>
      <c r="D2" s="75"/>
      <c r="E2" s="75"/>
      <c r="F2" s="75"/>
      <c r="G2" s="75"/>
    </row>
    <row r="3" spans="1:23" ht="18" customHeight="1" x14ac:dyDescent="0.25">
      <c r="A3" s="75"/>
      <c r="B3" s="75"/>
      <c r="C3" s="75"/>
      <c r="D3" s="75"/>
      <c r="E3" s="75"/>
      <c r="F3" s="75"/>
      <c r="G3" s="75"/>
    </row>
    <row r="4" spans="1:23" ht="16.5" x14ac:dyDescent="0.3">
      <c r="A4" s="75"/>
      <c r="B4" s="131" t="s">
        <v>150</v>
      </c>
      <c r="C4" s="131"/>
      <c r="D4" s="131"/>
      <c r="E4" s="131"/>
      <c r="F4" s="131"/>
      <c r="G4" s="75"/>
    </row>
    <row r="5" spans="1:23" ht="16.5" x14ac:dyDescent="0.3">
      <c r="A5" s="75"/>
      <c r="B5" s="131" t="s">
        <v>233</v>
      </c>
      <c r="C5" s="131"/>
      <c r="D5" s="131"/>
      <c r="E5" s="131"/>
      <c r="F5" s="131"/>
      <c r="G5" s="75"/>
    </row>
    <row r="6" spans="1:23" ht="18" customHeight="1" x14ac:dyDescent="0.25">
      <c r="A6" s="75"/>
      <c r="B6" s="75"/>
      <c r="C6" s="75"/>
      <c r="D6" s="75"/>
      <c r="E6" s="75"/>
      <c r="F6" s="75"/>
      <c r="G6" s="75"/>
    </row>
    <row r="7" spans="1:23" ht="15.75" x14ac:dyDescent="0.25">
      <c r="A7" s="75"/>
      <c r="B7" s="75"/>
      <c r="C7" s="75" t="s">
        <v>2</v>
      </c>
      <c r="D7" s="75" t="s">
        <v>121</v>
      </c>
      <c r="E7" s="75" t="str">
        <f>'S. DEPAN'!B14</f>
        <v>Renoval Faiz Al Ghifari</v>
      </c>
      <c r="F7" s="75"/>
      <c r="G7" s="75"/>
    </row>
    <row r="8" spans="1:23" ht="15.75" x14ac:dyDescent="0.25">
      <c r="A8" s="75"/>
      <c r="B8" s="75"/>
      <c r="C8" s="75" t="s">
        <v>151</v>
      </c>
      <c r="D8" s="75" t="s">
        <v>121</v>
      </c>
      <c r="E8" s="75" t="str">
        <f>'S. DEPAN'!D17</f>
        <v>Tambak Jaya, 06 September 2013</v>
      </c>
      <c r="F8" s="75"/>
      <c r="G8" s="75"/>
    </row>
    <row r="9" spans="1:23" ht="15.75" x14ac:dyDescent="0.25">
      <c r="A9" s="75"/>
      <c r="B9" s="75"/>
      <c r="C9" s="75" t="s">
        <v>3</v>
      </c>
      <c r="D9" s="75" t="s">
        <v>121</v>
      </c>
      <c r="E9" s="75" t="s">
        <v>169</v>
      </c>
      <c r="F9" s="75"/>
      <c r="G9" s="75"/>
    </row>
    <row r="10" spans="1:23" ht="15.75" x14ac:dyDescent="0.25">
      <c r="A10" s="75"/>
      <c r="B10" s="75"/>
      <c r="C10" s="75" t="s">
        <v>152</v>
      </c>
      <c r="D10" s="75" t="s">
        <v>121</v>
      </c>
      <c r="E10" s="75" t="str">
        <f>'S. DEPAN'!D18</f>
        <v>0008</v>
      </c>
      <c r="F10" s="75"/>
      <c r="G10" s="75"/>
    </row>
    <row r="11" spans="1:23" ht="15.75" x14ac:dyDescent="0.25">
      <c r="A11" s="75"/>
      <c r="B11" s="75"/>
      <c r="C11" s="75" t="s">
        <v>153</v>
      </c>
      <c r="D11" s="75" t="s">
        <v>121</v>
      </c>
      <c r="E11" s="75" t="str">
        <f>VLOOKUP('S. DEPAN'!H2,'Data '!$A$2:$K$12,10,0)</f>
        <v>0008</v>
      </c>
      <c r="F11" s="75"/>
      <c r="G11" s="75"/>
    </row>
    <row r="12" spans="1:23" ht="31.5" customHeight="1" x14ac:dyDescent="0.25">
      <c r="A12" s="75"/>
      <c r="B12" s="75"/>
      <c r="C12" s="75"/>
      <c r="D12" s="75"/>
      <c r="E12" s="75"/>
      <c r="F12" s="75"/>
      <c r="G12" s="75"/>
    </row>
    <row r="13" spans="1:23" ht="24" customHeight="1" x14ac:dyDescent="0.25">
      <c r="A13" s="75"/>
      <c r="B13" s="75"/>
      <c r="C13" s="75"/>
      <c r="D13" s="75"/>
      <c r="E13" s="75"/>
      <c r="F13" s="75"/>
      <c r="G13" s="75"/>
    </row>
    <row r="14" spans="1:23" ht="34.5" customHeight="1" x14ac:dyDescent="0.25">
      <c r="A14" s="75"/>
      <c r="B14" s="130" t="s">
        <v>154</v>
      </c>
      <c r="C14" s="130" t="s">
        <v>155</v>
      </c>
      <c r="D14" s="130"/>
      <c r="E14" s="130" t="s">
        <v>156</v>
      </c>
      <c r="F14" s="130"/>
      <c r="G14" s="75"/>
      <c r="I14" s="74"/>
      <c r="J14" s="74"/>
      <c r="K14" s="74"/>
      <c r="L14" s="74"/>
      <c r="M14" s="74"/>
      <c r="N14" s="74"/>
      <c r="O14" s="74"/>
      <c r="P14" s="74"/>
      <c r="Q14" s="74"/>
      <c r="R14" s="74"/>
    </row>
    <row r="15" spans="1:23" ht="35.25" customHeight="1" x14ac:dyDescent="0.25">
      <c r="A15" s="75"/>
      <c r="B15" s="130"/>
      <c r="C15" s="130"/>
      <c r="D15" s="130"/>
      <c r="E15" s="76" t="s">
        <v>157</v>
      </c>
      <c r="F15" s="76" t="s">
        <v>158</v>
      </c>
      <c r="G15" s="75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</row>
    <row r="16" spans="1:23" ht="30" customHeight="1" x14ac:dyDescent="0.25">
      <c r="A16" s="75"/>
      <c r="B16" s="83">
        <v>1</v>
      </c>
      <c r="C16" s="137" t="s">
        <v>236</v>
      </c>
      <c r="D16" s="137"/>
      <c r="E16" s="92">
        <f>VLOOKUP('S. DEPAN'!H2,REKAP1!A8:P25,9,0)</f>
        <v>65</v>
      </c>
      <c r="F16" s="77" t="str">
        <f>SUBSTITUTE(SUBSTITUTE(SUBSTITUTE(SUBSTITUTE(SUBSTITUTE(SUBSTITUTE(SUBSTITUTE(SUBSTITUTE(SUBSTITUTE(SUBSTITUTE(SUBSTITUTE(TEXT(E16,"#"), 0,"Nol "),1,"Satu "),2,"Dua "),3,"Tiga "),4,"Empat "),5,"Lima "),6,"Enam "),7,"Tujuh "),8,"Delapan "),9,"Sembilan "),",","Koma ")</f>
        <v xml:space="preserve">Enam Lima </v>
      </c>
      <c r="G16" s="75"/>
    </row>
    <row r="17" spans="1:14" ht="30" customHeight="1" x14ac:dyDescent="0.25">
      <c r="A17" s="75"/>
      <c r="B17" s="83">
        <v>2</v>
      </c>
      <c r="C17" s="137" t="s">
        <v>159</v>
      </c>
      <c r="D17" s="137"/>
      <c r="E17" s="92">
        <f>VLOOKUP('S. DEPAN'!H2,REKAP1!A8:P25,10,0)</f>
        <v>70</v>
      </c>
      <c r="F17" s="77" t="str">
        <f t="shared" ref="F17:F25" si="0">SUBSTITUTE(SUBSTITUTE(SUBSTITUTE(SUBSTITUTE(SUBSTITUTE(SUBSTITUTE(SUBSTITUTE(SUBSTITUTE(SUBSTITUTE(SUBSTITUTE(SUBSTITUTE(TEXT(E17,"#"), 0,"Nol "),1,"Satu "),2,"Dua "),3,"Tiga "),4,"Empat "),5,"Lima "),6,"Enam "),7,"Tujuh "),8,"Delapan "),9,"Sembilan "),",","Koma ")</f>
        <v xml:space="preserve">Tujuh Nol </v>
      </c>
      <c r="G17" s="75"/>
    </row>
    <row r="18" spans="1:14" ht="30" customHeight="1" x14ac:dyDescent="0.25">
      <c r="A18" s="75"/>
      <c r="B18" s="83">
        <v>3</v>
      </c>
      <c r="C18" s="137" t="s">
        <v>57</v>
      </c>
      <c r="D18" s="137"/>
      <c r="E18" s="92">
        <f>VLOOKUP('S. DEPAN'!H2,REKAP1!A8:P25,4,0)</f>
        <v>75</v>
      </c>
      <c r="F18" s="77" t="str">
        <f t="shared" si="0"/>
        <v xml:space="preserve">Tujuh Lima </v>
      </c>
      <c r="G18" s="75"/>
    </row>
    <row r="19" spans="1:14" ht="30" customHeight="1" x14ac:dyDescent="0.25">
      <c r="A19" s="75"/>
      <c r="B19" s="83">
        <v>4</v>
      </c>
      <c r="C19" s="137" t="s">
        <v>237</v>
      </c>
      <c r="D19" s="137"/>
      <c r="E19" s="92">
        <f>VLOOKUP('S. DEPAN'!H2,REKAP1!A8:P25,5,0)</f>
        <v>70</v>
      </c>
      <c r="F19" s="77" t="str">
        <f t="shared" si="0"/>
        <v xml:space="preserve">Tujuh Nol </v>
      </c>
      <c r="G19" s="75"/>
    </row>
    <row r="20" spans="1:14" ht="30" customHeight="1" x14ac:dyDescent="0.25">
      <c r="A20" s="75"/>
      <c r="B20" s="83">
        <v>5</v>
      </c>
      <c r="C20" s="137" t="s">
        <v>59</v>
      </c>
      <c r="D20" s="137"/>
      <c r="E20" s="92">
        <f>VLOOKUP('S. DEPAN'!H2,REKAP1!A8:P25,7,0)</f>
        <v>65</v>
      </c>
      <c r="F20" s="77" t="str">
        <f t="shared" si="0"/>
        <v xml:space="preserve">Enam Lima </v>
      </c>
      <c r="G20" s="75"/>
    </row>
    <row r="21" spans="1:14" ht="30" customHeight="1" x14ac:dyDescent="0.25">
      <c r="A21" s="75"/>
      <c r="B21" s="83">
        <v>6</v>
      </c>
      <c r="C21" s="137" t="s">
        <v>60</v>
      </c>
      <c r="D21" s="137"/>
      <c r="E21" s="92">
        <f>VLOOKUP('S. DEPAN'!H2,REKAP1!A8:P25,12,0)</f>
        <v>90</v>
      </c>
      <c r="F21" s="77" t="str">
        <f t="shared" si="0"/>
        <v xml:space="preserve">Sembilan Nol </v>
      </c>
      <c r="G21" s="75"/>
    </row>
    <row r="22" spans="1:14" ht="30" customHeight="1" x14ac:dyDescent="0.25">
      <c r="A22" s="75"/>
      <c r="B22" s="83">
        <v>7</v>
      </c>
      <c r="C22" s="137" t="s">
        <v>61</v>
      </c>
      <c r="D22" s="137"/>
      <c r="E22" s="92">
        <f>VLOOKUP('S. DEPAN'!H2,REKAP1!A8:P25,11,0)</f>
        <v>60</v>
      </c>
      <c r="F22" s="77" t="str">
        <f t="shared" si="0"/>
        <v xml:space="preserve">Enam Nol </v>
      </c>
      <c r="G22" s="75"/>
    </row>
    <row r="23" spans="1:14" ht="30" customHeight="1" x14ac:dyDescent="0.25">
      <c r="A23" s="75"/>
      <c r="B23" s="83">
        <v>8</v>
      </c>
      <c r="C23" s="137" t="s">
        <v>62</v>
      </c>
      <c r="D23" s="137"/>
      <c r="E23" s="92">
        <f>VLOOKUP('S. DEPAN'!H2,REKAP1!A8:P25,8,0)</f>
        <v>65</v>
      </c>
      <c r="F23" s="77" t="str">
        <f t="shared" si="0"/>
        <v xml:space="preserve">Enam Lima </v>
      </c>
      <c r="G23" s="75"/>
    </row>
    <row r="24" spans="1:14" ht="30" customHeight="1" x14ac:dyDescent="0.25">
      <c r="A24" s="75"/>
      <c r="B24" s="83">
        <v>9</v>
      </c>
      <c r="C24" s="137" t="s">
        <v>131</v>
      </c>
      <c r="D24" s="137"/>
      <c r="E24" s="92">
        <f>VLOOKUP('S. DEPAN'!H2,REKAP1!A8:P25,6,0)</f>
        <v>65</v>
      </c>
      <c r="F24" s="77" t="str">
        <f t="shared" si="0"/>
        <v xml:space="preserve">Enam Lima </v>
      </c>
      <c r="G24" s="75"/>
    </row>
    <row r="25" spans="1:14" ht="39.75" customHeight="1" x14ac:dyDescent="0.25">
      <c r="A25" s="75"/>
      <c r="B25" s="132" t="s">
        <v>160</v>
      </c>
      <c r="C25" s="133"/>
      <c r="D25" s="134"/>
      <c r="E25" s="84">
        <f>VLOOKUP('S. DEPAN'!H2,REKAP1!A8:Z25,14,0)</f>
        <v>625</v>
      </c>
      <c r="F25" s="77" t="str">
        <f t="shared" si="0"/>
        <v xml:space="preserve">Enam Dua Lima </v>
      </c>
      <c r="G25" s="75"/>
    </row>
    <row r="26" spans="1:14" ht="15.75" x14ac:dyDescent="0.25">
      <c r="A26" s="75"/>
      <c r="B26" s="75"/>
      <c r="C26" s="135"/>
      <c r="D26" s="135"/>
      <c r="E26" s="75"/>
      <c r="F26" s="75"/>
      <c r="G26" s="75"/>
    </row>
    <row r="27" spans="1:14" ht="16.5" customHeight="1" x14ac:dyDescent="0.25">
      <c r="A27" s="75"/>
      <c r="B27" s="85"/>
      <c r="C27" s="136"/>
      <c r="D27" s="136"/>
      <c r="E27" s="85"/>
      <c r="F27" s="85"/>
      <c r="G27" s="75"/>
      <c r="M27" s="80"/>
    </row>
    <row r="28" spans="1:14" ht="19.5" x14ac:dyDescent="0.25">
      <c r="A28" s="75"/>
      <c r="B28" s="85"/>
      <c r="C28" s="85"/>
      <c r="D28" s="86"/>
      <c r="E28" s="86"/>
      <c r="F28" s="78" t="s">
        <v>231</v>
      </c>
      <c r="G28" s="75"/>
      <c r="M28" s="82"/>
      <c r="N28" s="82"/>
    </row>
    <row r="29" spans="1:14" ht="19.5" x14ac:dyDescent="0.25">
      <c r="A29" s="75"/>
      <c r="B29" s="75"/>
      <c r="C29" s="78" t="s">
        <v>229</v>
      </c>
      <c r="D29" s="86"/>
      <c r="E29" s="86"/>
      <c r="F29" s="78" t="s">
        <v>161</v>
      </c>
      <c r="G29" s="75"/>
      <c r="M29" s="82"/>
      <c r="N29" s="82"/>
    </row>
    <row r="30" spans="1:14" ht="19.5" x14ac:dyDescent="0.25">
      <c r="A30" s="75"/>
      <c r="B30" s="75"/>
      <c r="C30" s="85"/>
      <c r="D30" s="86"/>
      <c r="E30" s="86"/>
      <c r="F30" s="78"/>
      <c r="G30" s="75"/>
      <c r="M30" s="82"/>
      <c r="N30" s="82"/>
    </row>
    <row r="31" spans="1:14" ht="19.5" x14ac:dyDescent="0.25">
      <c r="A31" s="75"/>
      <c r="B31" s="75"/>
      <c r="C31" s="85"/>
      <c r="D31" s="86"/>
      <c r="E31" s="86"/>
      <c r="F31" s="78"/>
      <c r="G31" s="75"/>
      <c r="M31" s="82"/>
      <c r="N31" s="82"/>
    </row>
    <row r="32" spans="1:14" ht="19.5" x14ac:dyDescent="0.25">
      <c r="A32" s="75"/>
      <c r="B32" s="75"/>
      <c r="C32" s="85"/>
      <c r="D32" s="86"/>
      <c r="E32" s="86"/>
      <c r="F32" s="78"/>
      <c r="G32" s="75"/>
      <c r="M32" s="81"/>
      <c r="N32" s="82"/>
    </row>
    <row r="33" spans="1:7" ht="15.75" x14ac:dyDescent="0.25">
      <c r="A33" s="75"/>
      <c r="B33" s="75"/>
      <c r="C33" s="85"/>
      <c r="D33" s="86"/>
      <c r="E33" s="86"/>
      <c r="F33" s="78"/>
      <c r="G33" s="75"/>
    </row>
    <row r="34" spans="1:7" ht="16.5" x14ac:dyDescent="0.25">
      <c r="A34" s="75"/>
      <c r="B34" s="75"/>
      <c r="C34" s="79" t="s">
        <v>228</v>
      </c>
      <c r="D34" s="86"/>
      <c r="E34" s="86"/>
      <c r="F34" s="79" t="s">
        <v>230</v>
      </c>
      <c r="G34" s="75"/>
    </row>
    <row r="35" spans="1:7" ht="15.75" x14ac:dyDescent="0.25">
      <c r="A35" s="75"/>
      <c r="B35" s="86"/>
      <c r="C35" s="125"/>
      <c r="D35" s="125"/>
      <c r="E35" s="86"/>
      <c r="F35" s="86"/>
      <c r="G35" s="75"/>
    </row>
    <row r="36" spans="1:7" ht="15.75" x14ac:dyDescent="0.25">
      <c r="A36" s="75"/>
      <c r="B36" s="75"/>
      <c r="C36" s="135"/>
      <c r="D36" s="135"/>
      <c r="E36" s="75"/>
      <c r="F36" s="78"/>
      <c r="G36" s="75"/>
    </row>
    <row r="37" spans="1:7" ht="15.75" x14ac:dyDescent="0.25">
      <c r="A37" s="75"/>
      <c r="B37" s="75"/>
      <c r="C37" s="135"/>
      <c r="D37" s="135"/>
      <c r="E37" s="75"/>
      <c r="F37" s="75"/>
      <c r="G37" s="75"/>
    </row>
    <row r="38" spans="1:7" ht="15.75" x14ac:dyDescent="0.25">
      <c r="A38" s="75"/>
      <c r="B38" s="75"/>
      <c r="C38" s="135"/>
      <c r="D38" s="135"/>
      <c r="E38" s="75"/>
      <c r="F38" s="75"/>
      <c r="G38" s="75"/>
    </row>
    <row r="39" spans="1:7" ht="15.75" x14ac:dyDescent="0.25">
      <c r="A39" s="75"/>
      <c r="B39" s="75"/>
      <c r="C39" s="135"/>
      <c r="D39" s="135"/>
      <c r="E39" s="75"/>
      <c r="F39" s="75"/>
      <c r="G39" s="75"/>
    </row>
    <row r="40" spans="1:7" ht="15.75" x14ac:dyDescent="0.25">
      <c r="A40" s="75"/>
      <c r="B40" s="75"/>
      <c r="C40" s="135"/>
      <c r="D40" s="135"/>
      <c r="E40" s="75"/>
      <c r="F40" s="75"/>
      <c r="G40" s="75"/>
    </row>
    <row r="41" spans="1:7" ht="15.75" x14ac:dyDescent="0.25">
      <c r="A41" s="75"/>
      <c r="B41" s="75"/>
      <c r="C41" s="135"/>
      <c r="D41" s="135"/>
      <c r="E41" s="75"/>
      <c r="F41" s="75"/>
      <c r="G41" s="75"/>
    </row>
    <row r="42" spans="1:7" ht="15.75" x14ac:dyDescent="0.25">
      <c r="A42" s="75"/>
      <c r="B42" s="75"/>
      <c r="C42" s="135"/>
      <c r="D42" s="135"/>
      <c r="E42" s="75"/>
      <c r="F42" s="75"/>
      <c r="G42" s="75"/>
    </row>
    <row r="43" spans="1:7" x14ac:dyDescent="0.25">
      <c r="C43" s="129"/>
      <c r="D43" s="129"/>
    </row>
    <row r="44" spans="1:7" x14ac:dyDescent="0.25">
      <c r="C44" s="129"/>
      <c r="D44" s="129"/>
    </row>
  </sheetData>
  <mergeCells count="27">
    <mergeCell ref="C16:D16"/>
    <mergeCell ref="C17:D17"/>
    <mergeCell ref="C18:D18"/>
    <mergeCell ref="C19:D19"/>
    <mergeCell ref="C26:D26"/>
    <mergeCell ref="C27:D27"/>
    <mergeCell ref="C20:D20"/>
    <mergeCell ref="C21:D21"/>
    <mergeCell ref="C22:D22"/>
    <mergeCell ref="C23:D23"/>
    <mergeCell ref="C24:D24"/>
    <mergeCell ref="C44:D44"/>
    <mergeCell ref="E14:F14"/>
    <mergeCell ref="B14:B15"/>
    <mergeCell ref="C14:D15"/>
    <mergeCell ref="B4:F4"/>
    <mergeCell ref="B5:F5"/>
    <mergeCell ref="B25:D25"/>
    <mergeCell ref="C38:D38"/>
    <mergeCell ref="C39:D39"/>
    <mergeCell ref="C40:D40"/>
    <mergeCell ref="C41:D41"/>
    <mergeCell ref="C42:D42"/>
    <mergeCell ref="C43:D43"/>
    <mergeCell ref="C35:D35"/>
    <mergeCell ref="C36:D36"/>
    <mergeCell ref="C37:D37"/>
  </mergeCells>
  <pageMargins left="0.7" right="0.7" top="0.75" bottom="0.75" header="0.3" footer="0.3"/>
  <pageSetup paperSize="10000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K38"/>
  <sheetViews>
    <sheetView zoomScale="70" zoomScaleNormal="70" workbookViewId="0">
      <pane xSplit="3" ySplit="2" topLeftCell="H3" activePane="bottomRight" state="frozen"/>
      <selection pane="topRight" activeCell="D1" sqref="D1"/>
      <selection pane="bottomLeft" activeCell="A3" sqref="A3"/>
      <selection pane="bottomRight" activeCell="K14" sqref="K14:K15"/>
    </sheetView>
  </sheetViews>
  <sheetFormatPr defaultRowHeight="15" x14ac:dyDescent="0.25"/>
  <cols>
    <col min="1" max="1" width="4.42578125" customWidth="1"/>
    <col min="2" max="2" width="15.28515625" customWidth="1"/>
    <col min="3" max="3" width="29.5703125" customWidth="1"/>
    <col min="4" max="5" width="33.42578125" customWidth="1"/>
    <col min="6" max="6" width="25.28515625" customWidth="1"/>
    <col min="7" max="7" width="20" customWidth="1"/>
    <col min="8" max="8" width="61.85546875" customWidth="1"/>
    <col min="9" max="9" width="14.28515625" customWidth="1"/>
    <col min="10" max="10" width="19.7109375" customWidth="1"/>
    <col min="11" max="11" width="31.140625" customWidth="1"/>
  </cols>
  <sheetData>
    <row r="2" spans="1:11" x14ac:dyDescent="0.25">
      <c r="A2" s="53" t="s">
        <v>1</v>
      </c>
      <c r="B2" s="53" t="s">
        <v>188</v>
      </c>
      <c r="C2" s="53" t="s">
        <v>104</v>
      </c>
      <c r="D2" s="53" t="s">
        <v>105</v>
      </c>
      <c r="E2" s="53" t="s">
        <v>217</v>
      </c>
      <c r="F2" s="53" t="s">
        <v>107</v>
      </c>
      <c r="G2" s="53" t="s">
        <v>108</v>
      </c>
      <c r="H2" s="53" t="s">
        <v>106</v>
      </c>
      <c r="I2" s="91" t="s">
        <v>164</v>
      </c>
      <c r="J2" s="91" t="s">
        <v>165</v>
      </c>
    </row>
    <row r="3" spans="1:11" x14ac:dyDescent="0.25">
      <c r="A3" s="12">
        <v>1</v>
      </c>
      <c r="B3" s="12" t="s">
        <v>174</v>
      </c>
      <c r="C3" s="97" t="s">
        <v>202</v>
      </c>
      <c r="D3" s="12" t="s">
        <v>193</v>
      </c>
      <c r="E3" s="12" t="s">
        <v>218</v>
      </c>
      <c r="F3" s="12" t="s">
        <v>126</v>
      </c>
      <c r="G3" s="12" t="s">
        <v>127</v>
      </c>
      <c r="H3" s="12" t="s">
        <v>194</v>
      </c>
      <c r="I3" s="176" t="s">
        <v>221</v>
      </c>
      <c r="J3" s="176" t="s">
        <v>221</v>
      </c>
      <c r="K3" t="s">
        <v>210</v>
      </c>
    </row>
    <row r="4" spans="1:11" x14ac:dyDescent="0.25">
      <c r="A4" s="12">
        <f>A3+1</f>
        <v>2</v>
      </c>
      <c r="B4" s="12" t="s">
        <v>174</v>
      </c>
      <c r="C4" s="97" t="s">
        <v>177</v>
      </c>
      <c r="D4" s="12" t="s">
        <v>195</v>
      </c>
      <c r="E4" s="12" t="s">
        <v>219</v>
      </c>
      <c r="F4" s="12" t="s">
        <v>196</v>
      </c>
      <c r="G4" s="12" t="s">
        <v>197</v>
      </c>
      <c r="H4" s="12" t="s">
        <v>198</v>
      </c>
      <c r="I4" s="176" t="s">
        <v>220</v>
      </c>
      <c r="J4" s="176" t="s">
        <v>220</v>
      </c>
      <c r="K4" t="s">
        <v>211</v>
      </c>
    </row>
    <row r="5" spans="1:11" x14ac:dyDescent="0.25">
      <c r="A5" s="12">
        <f t="shared" ref="A5:A36" si="0">A4+1</f>
        <v>3</v>
      </c>
      <c r="B5" s="12" t="s">
        <v>174</v>
      </c>
      <c r="C5" s="97" t="s">
        <v>184</v>
      </c>
      <c r="D5" s="12"/>
      <c r="E5" s="12" t="s">
        <v>218</v>
      </c>
      <c r="F5" s="12"/>
      <c r="G5" s="12"/>
      <c r="H5" s="12"/>
      <c r="I5" s="176" t="s">
        <v>224</v>
      </c>
      <c r="J5" s="176" t="s">
        <v>224</v>
      </c>
      <c r="K5" t="s">
        <v>212</v>
      </c>
    </row>
    <row r="6" spans="1:11" x14ac:dyDescent="0.25">
      <c r="A6" s="12">
        <f t="shared" si="0"/>
        <v>4</v>
      </c>
      <c r="B6" s="12" t="s">
        <v>174</v>
      </c>
      <c r="C6" s="97" t="s">
        <v>179</v>
      </c>
      <c r="D6" s="12" t="s">
        <v>199</v>
      </c>
      <c r="E6" s="12" t="s">
        <v>218</v>
      </c>
      <c r="F6" s="12" t="s">
        <v>200</v>
      </c>
      <c r="G6" s="12" t="s">
        <v>201</v>
      </c>
      <c r="H6" s="12" t="s">
        <v>194</v>
      </c>
      <c r="I6" s="176" t="s">
        <v>225</v>
      </c>
      <c r="J6" s="176" t="s">
        <v>225</v>
      </c>
      <c r="K6" t="s">
        <v>213</v>
      </c>
    </row>
    <row r="7" spans="1:11" x14ac:dyDescent="0.25">
      <c r="A7" s="12">
        <f t="shared" si="0"/>
        <v>5</v>
      </c>
      <c r="B7" s="12" t="s">
        <v>174</v>
      </c>
      <c r="C7" s="97" t="s">
        <v>180</v>
      </c>
      <c r="D7" s="12" t="s">
        <v>207</v>
      </c>
      <c r="E7" s="12" t="s">
        <v>218</v>
      </c>
      <c r="F7" s="12" t="s">
        <v>208</v>
      </c>
      <c r="G7" s="12" t="s">
        <v>209</v>
      </c>
      <c r="H7" s="12" t="s">
        <v>194</v>
      </c>
      <c r="I7" s="176" t="s">
        <v>223</v>
      </c>
      <c r="J7" s="176" t="s">
        <v>223</v>
      </c>
      <c r="K7" t="s">
        <v>214</v>
      </c>
    </row>
    <row r="8" spans="1:11" x14ac:dyDescent="0.25">
      <c r="A8" s="12">
        <f t="shared" si="0"/>
        <v>6</v>
      </c>
      <c r="B8" s="12" t="s">
        <v>174</v>
      </c>
      <c r="C8" s="97" t="s">
        <v>181</v>
      </c>
      <c r="D8" s="12" t="s">
        <v>227</v>
      </c>
      <c r="E8" s="12" t="s">
        <v>218</v>
      </c>
      <c r="F8" s="12" t="s">
        <v>129</v>
      </c>
      <c r="G8" s="12" t="s">
        <v>128</v>
      </c>
      <c r="H8" s="12" t="s">
        <v>203</v>
      </c>
      <c r="I8" s="176" t="s">
        <v>222</v>
      </c>
      <c r="J8" s="176" t="s">
        <v>222</v>
      </c>
      <c r="K8" t="s">
        <v>215</v>
      </c>
    </row>
    <row r="9" spans="1:11" x14ac:dyDescent="0.25">
      <c r="A9" s="12">
        <f t="shared" si="0"/>
        <v>7</v>
      </c>
      <c r="B9" s="12" t="s">
        <v>174</v>
      </c>
      <c r="C9" s="97" t="s">
        <v>183</v>
      </c>
      <c r="D9" s="12" t="s">
        <v>204</v>
      </c>
      <c r="E9" s="12" t="s">
        <v>219</v>
      </c>
      <c r="F9" s="12" t="s">
        <v>205</v>
      </c>
      <c r="G9" s="12" t="s">
        <v>206</v>
      </c>
      <c r="H9" s="12" t="s">
        <v>198</v>
      </c>
      <c r="I9" s="176" t="s">
        <v>226</v>
      </c>
      <c r="J9" s="176" t="s">
        <v>226</v>
      </c>
      <c r="K9" t="s">
        <v>216</v>
      </c>
    </row>
    <row r="10" spans="1:11" x14ac:dyDescent="0.25">
      <c r="A10" s="12">
        <f t="shared" si="0"/>
        <v>8</v>
      </c>
      <c r="B10" s="12"/>
      <c r="C10" s="97"/>
      <c r="D10" s="12"/>
      <c r="E10" s="12"/>
      <c r="F10" s="12"/>
      <c r="G10" s="12"/>
      <c r="H10" s="12"/>
      <c r="I10" s="73"/>
      <c r="J10" s="73"/>
      <c r="K10" t="s">
        <v>216</v>
      </c>
    </row>
    <row r="11" spans="1:11" x14ac:dyDescent="0.25">
      <c r="A11" s="12">
        <f t="shared" si="0"/>
        <v>9</v>
      </c>
      <c r="B11" s="12"/>
      <c r="C11" s="97"/>
      <c r="D11" s="12"/>
      <c r="E11" s="12"/>
      <c r="F11" s="12"/>
      <c r="G11" s="12"/>
      <c r="H11" s="12"/>
      <c r="I11" s="73"/>
      <c r="J11" s="73"/>
    </row>
    <row r="12" spans="1:11" x14ac:dyDescent="0.25">
      <c r="A12" s="12">
        <f t="shared" si="0"/>
        <v>10</v>
      </c>
      <c r="B12" s="12"/>
      <c r="C12" s="97"/>
      <c r="D12" s="12"/>
      <c r="E12" s="12"/>
      <c r="F12" s="12"/>
      <c r="G12" s="12"/>
      <c r="H12" s="12"/>
      <c r="I12" s="73"/>
      <c r="J12" s="73"/>
    </row>
    <row r="13" spans="1:11" x14ac:dyDescent="0.25">
      <c r="A13" s="12">
        <f t="shared" si="0"/>
        <v>11</v>
      </c>
      <c r="B13" s="12"/>
      <c r="C13" s="97"/>
      <c r="D13" s="12"/>
      <c r="E13" s="12"/>
      <c r="F13" s="12"/>
      <c r="G13" s="12"/>
      <c r="H13" s="12"/>
      <c r="I13" s="73"/>
      <c r="J13" s="73"/>
    </row>
    <row r="14" spans="1:11" x14ac:dyDescent="0.25">
      <c r="A14" s="12">
        <f t="shared" si="0"/>
        <v>12</v>
      </c>
      <c r="B14" s="12"/>
      <c r="C14" s="97"/>
      <c r="D14" s="12"/>
      <c r="E14" s="12"/>
      <c r="F14" s="12"/>
      <c r="G14" s="12"/>
      <c r="H14" s="12"/>
      <c r="I14" s="73"/>
      <c r="J14" s="73"/>
    </row>
    <row r="15" spans="1:11" x14ac:dyDescent="0.25">
      <c r="A15" s="12">
        <f t="shared" si="0"/>
        <v>13</v>
      </c>
      <c r="B15" s="12"/>
      <c r="C15" s="97"/>
      <c r="D15" s="12"/>
      <c r="E15" s="12"/>
      <c r="F15" s="12"/>
      <c r="G15" s="12"/>
      <c r="H15" s="12"/>
      <c r="I15" s="73"/>
      <c r="J15" s="73"/>
    </row>
    <row r="16" spans="1:11" x14ac:dyDescent="0.25">
      <c r="A16" s="12">
        <f t="shared" si="0"/>
        <v>14</v>
      </c>
      <c r="B16" s="12"/>
      <c r="C16" s="97"/>
      <c r="D16" s="12"/>
      <c r="E16" s="12"/>
      <c r="F16" s="12"/>
      <c r="G16" s="12"/>
      <c r="H16" s="12"/>
      <c r="I16" s="73"/>
      <c r="J16" s="73"/>
    </row>
    <row r="17" spans="1:10" x14ac:dyDescent="0.25">
      <c r="A17" s="12">
        <f t="shared" si="0"/>
        <v>15</v>
      </c>
      <c r="B17" s="12"/>
      <c r="C17" s="97"/>
      <c r="D17" s="12"/>
      <c r="E17" s="12"/>
      <c r="F17" s="12"/>
      <c r="G17" s="12"/>
      <c r="H17" s="12"/>
      <c r="I17" s="73"/>
      <c r="J17" s="73"/>
    </row>
    <row r="18" spans="1:10" x14ac:dyDescent="0.25">
      <c r="A18" s="12">
        <f t="shared" si="0"/>
        <v>16</v>
      </c>
      <c r="B18" s="12"/>
      <c r="C18" s="97"/>
      <c r="D18" s="12"/>
      <c r="E18" s="12"/>
      <c r="F18" s="12"/>
      <c r="G18" s="12"/>
      <c r="H18" s="12"/>
      <c r="I18" s="73"/>
      <c r="J18" s="73"/>
    </row>
    <row r="19" spans="1:10" x14ac:dyDescent="0.25">
      <c r="A19" s="12">
        <f t="shared" si="0"/>
        <v>17</v>
      </c>
      <c r="B19" s="12"/>
      <c r="C19" s="97"/>
      <c r="D19" s="12"/>
      <c r="E19" s="12"/>
      <c r="F19" s="12"/>
      <c r="G19" s="12"/>
      <c r="H19" s="12"/>
      <c r="I19" s="73"/>
      <c r="J19" s="73"/>
    </row>
    <row r="20" spans="1:10" x14ac:dyDescent="0.25">
      <c r="A20" s="12">
        <f t="shared" si="0"/>
        <v>18</v>
      </c>
      <c r="B20" s="12"/>
      <c r="C20" s="97"/>
      <c r="D20" s="12"/>
      <c r="E20" s="12"/>
      <c r="F20" s="12"/>
      <c r="G20" s="12"/>
      <c r="H20" s="12"/>
      <c r="I20" s="73"/>
      <c r="J20" s="73"/>
    </row>
    <row r="21" spans="1:10" x14ac:dyDescent="0.25">
      <c r="A21" s="12">
        <f t="shared" si="0"/>
        <v>19</v>
      </c>
      <c r="B21" s="12"/>
      <c r="C21" s="97"/>
      <c r="D21" s="12"/>
      <c r="E21" s="12"/>
      <c r="F21" s="12"/>
      <c r="G21" s="12"/>
      <c r="H21" s="12"/>
      <c r="I21" s="73"/>
      <c r="J21" s="73"/>
    </row>
    <row r="22" spans="1:10" x14ac:dyDescent="0.25">
      <c r="A22" s="12">
        <f t="shared" si="0"/>
        <v>20</v>
      </c>
      <c r="B22" s="12"/>
      <c r="C22" s="97"/>
      <c r="D22" s="12"/>
      <c r="E22" s="12"/>
      <c r="F22" s="12"/>
      <c r="G22" s="12"/>
      <c r="H22" s="12"/>
      <c r="I22" s="73"/>
      <c r="J22" s="73"/>
    </row>
    <row r="23" spans="1:10" x14ac:dyDescent="0.25">
      <c r="A23" s="12">
        <f t="shared" si="0"/>
        <v>21</v>
      </c>
      <c r="B23" s="12"/>
      <c r="C23" s="12"/>
      <c r="D23" s="12"/>
      <c r="E23" s="12"/>
      <c r="F23" s="12"/>
      <c r="G23" s="12"/>
      <c r="H23" s="12"/>
    </row>
    <row r="24" spans="1:10" x14ac:dyDescent="0.25">
      <c r="A24" s="12">
        <f t="shared" si="0"/>
        <v>22</v>
      </c>
      <c r="B24" s="12"/>
      <c r="C24" s="12"/>
      <c r="D24" s="12"/>
      <c r="E24" s="12"/>
      <c r="F24" s="12"/>
      <c r="G24" s="12"/>
      <c r="H24" s="12"/>
    </row>
    <row r="25" spans="1:10" x14ac:dyDescent="0.25">
      <c r="A25" s="12">
        <f t="shared" si="0"/>
        <v>23</v>
      </c>
      <c r="B25" s="12"/>
      <c r="C25" s="12"/>
      <c r="D25" s="12"/>
      <c r="E25" s="12"/>
      <c r="F25" s="12"/>
      <c r="G25" s="12"/>
      <c r="H25" s="12"/>
    </row>
    <row r="26" spans="1:10" x14ac:dyDescent="0.25">
      <c r="A26" s="12">
        <f t="shared" si="0"/>
        <v>24</v>
      </c>
      <c r="B26" s="12"/>
      <c r="C26" s="12"/>
      <c r="D26" s="12"/>
      <c r="E26" s="12"/>
      <c r="F26" s="12"/>
      <c r="G26" s="12"/>
      <c r="H26" s="12"/>
    </row>
    <row r="27" spans="1:10" x14ac:dyDescent="0.25">
      <c r="A27" s="12">
        <f t="shared" si="0"/>
        <v>25</v>
      </c>
      <c r="B27" s="12"/>
      <c r="C27" s="12"/>
      <c r="D27" s="12"/>
      <c r="E27" s="12"/>
      <c r="F27" s="12"/>
      <c r="G27" s="12"/>
      <c r="H27" s="12"/>
    </row>
    <row r="28" spans="1:10" x14ac:dyDescent="0.25">
      <c r="A28" s="12">
        <f t="shared" si="0"/>
        <v>26</v>
      </c>
      <c r="B28" s="12"/>
      <c r="C28" s="12"/>
      <c r="D28" s="12"/>
      <c r="E28" s="12"/>
      <c r="F28" s="12"/>
      <c r="G28" s="12"/>
      <c r="H28" s="12"/>
    </row>
    <row r="29" spans="1:10" x14ac:dyDescent="0.25">
      <c r="A29" s="12">
        <f t="shared" si="0"/>
        <v>27</v>
      </c>
      <c r="B29" s="12"/>
      <c r="C29" s="12"/>
      <c r="D29" s="12"/>
      <c r="E29" s="12"/>
      <c r="F29" s="12"/>
      <c r="G29" s="12"/>
      <c r="H29" s="12"/>
    </row>
    <row r="30" spans="1:10" x14ac:dyDescent="0.25">
      <c r="A30" s="12">
        <f t="shared" si="0"/>
        <v>28</v>
      </c>
      <c r="B30" s="12"/>
      <c r="C30" s="12"/>
      <c r="D30" s="12"/>
      <c r="E30" s="12"/>
      <c r="F30" s="12"/>
      <c r="G30" s="12"/>
      <c r="H30" s="12"/>
    </row>
    <row r="31" spans="1:10" x14ac:dyDescent="0.25">
      <c r="A31" s="12">
        <f t="shared" si="0"/>
        <v>29</v>
      </c>
      <c r="B31" s="12"/>
      <c r="C31" s="12"/>
      <c r="D31" s="12"/>
      <c r="E31" s="12"/>
      <c r="F31" s="12"/>
      <c r="G31" s="12"/>
      <c r="H31" s="12"/>
    </row>
    <row r="32" spans="1:10" x14ac:dyDescent="0.25">
      <c r="A32" s="12">
        <f t="shared" si="0"/>
        <v>30</v>
      </c>
      <c r="B32" s="12"/>
      <c r="C32" s="12"/>
      <c r="D32" s="12"/>
      <c r="E32" s="12"/>
      <c r="F32" s="12"/>
      <c r="G32" s="12"/>
      <c r="H32" s="12"/>
    </row>
    <row r="33" spans="1:8" x14ac:dyDescent="0.25">
      <c r="A33" s="12">
        <f t="shared" si="0"/>
        <v>31</v>
      </c>
      <c r="B33" s="12"/>
      <c r="C33" s="12"/>
      <c r="D33" s="12"/>
      <c r="E33" s="12"/>
      <c r="F33" s="12"/>
      <c r="G33" s="12"/>
      <c r="H33" s="12"/>
    </row>
    <row r="34" spans="1:8" x14ac:dyDescent="0.25">
      <c r="A34" s="12">
        <f t="shared" si="0"/>
        <v>32</v>
      </c>
      <c r="B34" s="12"/>
      <c r="C34" s="12"/>
      <c r="D34" s="12"/>
      <c r="E34" s="12"/>
      <c r="F34" s="12"/>
      <c r="G34" s="12"/>
      <c r="H34" s="12"/>
    </row>
    <row r="35" spans="1:8" x14ac:dyDescent="0.25">
      <c r="A35" s="12">
        <f t="shared" si="0"/>
        <v>33</v>
      </c>
      <c r="B35" s="12"/>
      <c r="C35" s="12"/>
      <c r="D35" s="12"/>
      <c r="E35" s="12"/>
      <c r="F35" s="12"/>
      <c r="G35" s="12"/>
      <c r="H35" s="12"/>
    </row>
    <row r="36" spans="1:8" x14ac:dyDescent="0.25">
      <c r="A36" s="12">
        <f t="shared" si="0"/>
        <v>34</v>
      </c>
      <c r="B36" s="12"/>
      <c r="C36" s="12"/>
      <c r="D36" s="12"/>
      <c r="E36" s="12"/>
      <c r="F36" s="12"/>
      <c r="G36" s="12"/>
      <c r="H36" s="12"/>
    </row>
    <row r="38" spans="1:8" x14ac:dyDescent="0.25">
      <c r="H38" t="s">
        <v>175</v>
      </c>
    </row>
  </sheetData>
  <sortState xmlns:xlrd2="http://schemas.microsoft.com/office/spreadsheetml/2017/richdata2" ref="A3:A36">
    <sortCondition ref="A3:A36"/>
  </sortState>
  <phoneticPr fontId="31" type="noConversion"/>
  <pageMargins left="0.7" right="0.7" top="0.75" bottom="0.75" header="0.3" footer="0.3"/>
  <pageSetup scale="66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ED161-D972-4E16-A898-A4B4042F7C5E}">
  <dimension ref="A1:B1"/>
  <sheetViews>
    <sheetView workbookViewId="0">
      <selection activeCell="B2" sqref="B2"/>
    </sheetView>
  </sheetViews>
  <sheetFormatPr defaultRowHeight="15" x14ac:dyDescent="0.25"/>
  <cols>
    <col min="1" max="1" width="13.42578125" customWidth="1"/>
    <col min="2" max="2" width="30.28515625" customWidth="1"/>
  </cols>
  <sheetData>
    <row r="1" spans="1:2" x14ac:dyDescent="0.25">
      <c r="A1" t="s">
        <v>118</v>
      </c>
      <c r="B1" t="s">
        <v>174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86653-E74B-4327-B202-1BA255E8897F}">
  <sheetPr>
    <pageSetUpPr fitToPage="1"/>
  </sheetPr>
  <dimension ref="A1:P71"/>
  <sheetViews>
    <sheetView zoomScale="70" zoomScaleNormal="70" workbookViewId="0">
      <selection activeCell="T18" sqref="T18"/>
    </sheetView>
  </sheetViews>
  <sheetFormatPr defaultRowHeight="20.100000000000001" customHeight="1" x14ac:dyDescent="0.25"/>
  <cols>
    <col min="1" max="1" width="4.7109375" style="59" customWidth="1"/>
    <col min="2" max="2" width="23.140625" style="59" customWidth="1"/>
    <col min="3" max="3" width="16.140625" style="59" customWidth="1"/>
    <col min="4" max="4" width="9.85546875" style="59" customWidth="1"/>
    <col min="5" max="5" width="10.42578125" style="59" customWidth="1"/>
    <col min="6" max="6" width="7.42578125" style="59" customWidth="1"/>
    <col min="7" max="7" width="7.140625" style="59" customWidth="1"/>
    <col min="8" max="8" width="11.28515625" style="59" customWidth="1"/>
    <col min="9" max="9" width="12.140625" style="59" customWidth="1"/>
    <col min="10" max="10" width="7.7109375" style="59" customWidth="1"/>
    <col min="11" max="11" width="10.28515625" style="59" customWidth="1"/>
    <col min="12" max="12" width="11.140625" style="59" customWidth="1"/>
    <col min="13" max="13" width="7.7109375" style="59" customWidth="1"/>
    <col min="14" max="15" width="9.140625" style="59"/>
    <col min="16" max="16" width="15.28515625" style="59" customWidth="1"/>
    <col min="17" max="16384" width="9.140625" style="59"/>
  </cols>
  <sheetData>
    <row r="1" spans="1:16" ht="20.100000000000001" customHeight="1" x14ac:dyDescent="0.25">
      <c r="A1" s="138" t="s">
        <v>0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</row>
    <row r="2" spans="1:16" ht="20.100000000000001" customHeight="1" x14ac:dyDescent="0.25">
      <c r="A2" s="138" t="s">
        <v>12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</row>
    <row r="3" spans="1:16" ht="20.100000000000001" customHeight="1" x14ac:dyDescent="0.25">
      <c r="A3" s="60"/>
      <c r="B3" s="60"/>
      <c r="C3" s="61"/>
      <c r="D3" s="61"/>
      <c r="E3" s="61"/>
      <c r="F3" s="61"/>
      <c r="G3" s="61"/>
      <c r="H3" s="61"/>
      <c r="I3" s="61"/>
      <c r="J3" s="61"/>
      <c r="K3" s="61"/>
      <c r="L3" s="62"/>
      <c r="M3" s="60"/>
      <c r="N3" s="60"/>
      <c r="O3" s="60"/>
      <c r="P3" s="61"/>
    </row>
    <row r="4" spans="1:16" ht="28.5" customHeight="1" x14ac:dyDescent="0.25">
      <c r="A4" s="60">
        <v>1</v>
      </c>
      <c r="B4" s="60">
        <v>2</v>
      </c>
      <c r="C4" s="60">
        <v>3</v>
      </c>
      <c r="D4" s="60">
        <v>4</v>
      </c>
      <c r="E4" s="60">
        <v>5</v>
      </c>
      <c r="F4" s="60">
        <v>6</v>
      </c>
      <c r="G4" s="60">
        <v>7</v>
      </c>
      <c r="H4" s="60">
        <v>8</v>
      </c>
      <c r="I4" s="60">
        <v>9</v>
      </c>
      <c r="J4" s="60">
        <v>10</v>
      </c>
      <c r="K4" s="60">
        <v>11</v>
      </c>
      <c r="L4" s="60">
        <v>12</v>
      </c>
      <c r="M4" s="60">
        <v>13</v>
      </c>
      <c r="N4" s="60"/>
      <c r="O4" s="60"/>
      <c r="P4" s="60"/>
    </row>
    <row r="5" spans="1:16" ht="20.100000000000001" customHeight="1" x14ac:dyDescent="0.25">
      <c r="A5" s="139" t="s">
        <v>1</v>
      </c>
      <c r="B5" s="139" t="s">
        <v>2</v>
      </c>
      <c r="C5" s="139" t="s">
        <v>3</v>
      </c>
      <c r="D5" s="139" t="s">
        <v>52</v>
      </c>
      <c r="E5" s="139"/>
      <c r="F5" s="139"/>
      <c r="G5" s="139"/>
      <c r="H5" s="139"/>
      <c r="I5" s="139"/>
      <c r="J5" s="139"/>
      <c r="K5" s="139"/>
      <c r="L5" s="139"/>
      <c r="M5" s="139"/>
      <c r="N5" s="140" t="s">
        <v>7</v>
      </c>
      <c r="O5" s="172" t="s">
        <v>192</v>
      </c>
      <c r="P5" s="139" t="s">
        <v>8</v>
      </c>
    </row>
    <row r="6" spans="1:16" ht="20.100000000000001" customHeight="1" x14ac:dyDescent="0.25">
      <c r="A6" s="139"/>
      <c r="B6" s="139"/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40"/>
      <c r="O6" s="173"/>
      <c r="P6" s="139"/>
    </row>
    <row r="7" spans="1:16" ht="20.100000000000001" customHeight="1" x14ac:dyDescent="0.25">
      <c r="A7" s="139"/>
      <c r="B7" s="139"/>
      <c r="C7" s="139"/>
      <c r="D7" s="57" t="s">
        <v>20</v>
      </c>
      <c r="E7" s="57" t="s">
        <v>58</v>
      </c>
      <c r="F7" s="57" t="s">
        <v>131</v>
      </c>
      <c r="G7" s="57" t="s">
        <v>132</v>
      </c>
      <c r="H7" s="57" t="s">
        <v>133</v>
      </c>
      <c r="I7" s="57" t="s">
        <v>135</v>
      </c>
      <c r="J7" s="57" t="s">
        <v>134</v>
      </c>
      <c r="K7" s="57" t="s">
        <v>136</v>
      </c>
      <c r="L7" s="57" t="s">
        <v>137</v>
      </c>
      <c r="M7" s="57"/>
      <c r="N7" s="140"/>
      <c r="O7" s="174"/>
      <c r="P7" s="139"/>
    </row>
    <row r="8" spans="1:16" ht="20.100000000000001" customHeight="1" x14ac:dyDescent="0.25">
      <c r="A8" s="58">
        <v>1</v>
      </c>
      <c r="B8" s="166" t="str">
        <f>VLOOKUP(A8,'Data '!A2:J36,3,0)</f>
        <v>Ahmad Alhabib Ramadhan</v>
      </c>
      <c r="C8" s="166" t="str">
        <f>VLOOKUP(A8,'Data '!A2:J36,2,0)</f>
        <v>Utsmaniyyah III</v>
      </c>
      <c r="D8" s="180">
        <f>REKAP!D8*10</f>
        <v>70</v>
      </c>
      <c r="E8" s="180">
        <f>REKAP!E8*10</f>
        <v>100</v>
      </c>
      <c r="F8" s="180">
        <f>REKAP!F8*10</f>
        <v>75</v>
      </c>
      <c r="G8" s="180">
        <f>REKAP!G8*10</f>
        <v>85</v>
      </c>
      <c r="H8" s="180">
        <f>REKAP!H8*10</f>
        <v>75</v>
      </c>
      <c r="I8" s="180">
        <f>REKAP!I8*10</f>
        <v>75</v>
      </c>
      <c r="J8" s="180">
        <f>REKAP!J8*10</f>
        <v>65</v>
      </c>
      <c r="K8" s="180">
        <f>REKAP!K8*10</f>
        <v>80</v>
      </c>
      <c r="L8" s="180">
        <f>REKAP!L8*10</f>
        <v>80</v>
      </c>
      <c r="M8" s="170"/>
      <c r="N8" s="171">
        <f>SUM(D8:M8)</f>
        <v>705</v>
      </c>
      <c r="O8" s="171">
        <f>RANK(N8,$N$8:$N$28,0)</f>
        <v>2</v>
      </c>
      <c r="P8" s="56"/>
    </row>
    <row r="9" spans="1:16" ht="20.100000000000001" customHeight="1" x14ac:dyDescent="0.25">
      <c r="A9" s="58">
        <v>2</v>
      </c>
      <c r="B9" s="166" t="str">
        <f>VLOOKUP(A9,'Data '!A3:J37,3,0)</f>
        <v>Aulia Zahra El Fikri</v>
      </c>
      <c r="C9" s="166" t="str">
        <f>VLOOKUP(A9,'Data '!A3:J37,2,0)</f>
        <v>Utsmaniyyah III</v>
      </c>
      <c r="D9" s="180">
        <f>REKAP!D9*10</f>
        <v>85</v>
      </c>
      <c r="E9" s="180">
        <f>REKAP!E9*10</f>
        <v>100</v>
      </c>
      <c r="F9" s="180">
        <f>REKAP!F9*10</f>
        <v>80</v>
      </c>
      <c r="G9" s="180">
        <f>REKAP!G9*10</f>
        <v>80</v>
      </c>
      <c r="H9" s="180">
        <f>REKAP!H9*10</f>
        <v>80</v>
      </c>
      <c r="I9" s="180">
        <f>REKAP!I9*10</f>
        <v>75</v>
      </c>
      <c r="J9" s="180">
        <f>REKAP!J9*10</f>
        <v>60</v>
      </c>
      <c r="K9" s="180">
        <f>REKAP!K9*10</f>
        <v>75</v>
      </c>
      <c r="L9" s="180">
        <f>REKAP!L9*10</f>
        <v>80</v>
      </c>
      <c r="M9" s="170"/>
      <c r="N9" s="171">
        <f t="shared" ref="N9:N28" si="0">SUM(D9:M9)</f>
        <v>715</v>
      </c>
      <c r="O9" s="171">
        <f t="shared" ref="O9:O15" si="1">RANK(N9,$N$8:$N$28,0)</f>
        <v>1</v>
      </c>
      <c r="P9" s="56"/>
    </row>
    <row r="10" spans="1:16" ht="20.100000000000001" customHeight="1" x14ac:dyDescent="0.25">
      <c r="A10" s="58">
        <v>3</v>
      </c>
      <c r="B10" s="166" t="str">
        <f>VLOOKUP(A10,'Data '!A4:J38,3,0)</f>
        <v>Nur Habibi</v>
      </c>
      <c r="C10" s="166" t="str">
        <f>VLOOKUP(A10,'Data '!A4:J38,2,0)</f>
        <v>Utsmaniyyah III</v>
      </c>
      <c r="D10" s="180">
        <f>REKAP!D10*10</f>
        <v>55</v>
      </c>
      <c r="E10" s="180">
        <f>REKAP!E10*10</f>
        <v>65</v>
      </c>
      <c r="F10" s="180">
        <f>REKAP!F10*10</f>
        <v>90</v>
      </c>
      <c r="G10" s="180">
        <f>REKAP!G10*10</f>
        <v>65</v>
      </c>
      <c r="H10" s="180">
        <f>REKAP!H10*10</f>
        <v>55</v>
      </c>
      <c r="I10" s="180">
        <f>REKAP!I10*10</f>
        <v>62.5</v>
      </c>
      <c r="J10" s="180">
        <f>REKAP!J10*10</f>
        <v>60</v>
      </c>
      <c r="K10" s="180">
        <f>REKAP!K10*10</f>
        <v>55</v>
      </c>
      <c r="L10" s="180">
        <f>REKAP!L10*10</f>
        <v>85</v>
      </c>
      <c r="M10" s="170"/>
      <c r="N10" s="171">
        <f t="shared" si="0"/>
        <v>592.5</v>
      </c>
      <c r="O10" s="171">
        <f t="shared" si="1"/>
        <v>6</v>
      </c>
      <c r="P10" s="56"/>
    </row>
    <row r="11" spans="1:16" ht="20.100000000000001" customHeight="1" x14ac:dyDescent="0.25">
      <c r="A11" s="58">
        <v>4</v>
      </c>
      <c r="B11" s="166" t="str">
        <f>VLOOKUP(A11,'Data '!A5:J39,3,0)</f>
        <v>M. Fatan Azzamy Isma'il</v>
      </c>
      <c r="C11" s="166" t="str">
        <f>VLOOKUP(A11,'Data '!A5:J39,2,0)</f>
        <v>Utsmaniyyah III</v>
      </c>
      <c r="D11" s="180">
        <f>REKAP!D11*10</f>
        <v>60</v>
      </c>
      <c r="E11" s="180">
        <f>REKAP!E11*10</f>
        <v>80</v>
      </c>
      <c r="F11" s="180">
        <f>REKAP!F11*10</f>
        <v>60</v>
      </c>
      <c r="G11" s="180">
        <f>REKAP!G11*10</f>
        <v>80</v>
      </c>
      <c r="H11" s="180">
        <f>REKAP!H11*10</f>
        <v>65</v>
      </c>
      <c r="I11" s="180">
        <f>REKAP!I11*10</f>
        <v>70</v>
      </c>
      <c r="J11" s="180">
        <f>REKAP!J11*10</f>
        <v>60</v>
      </c>
      <c r="K11" s="180">
        <f>REKAP!K11*10</f>
        <v>85</v>
      </c>
      <c r="L11" s="180">
        <f>REKAP!L11*10</f>
        <v>80</v>
      </c>
      <c r="M11" s="170"/>
      <c r="N11" s="171">
        <f t="shared" si="0"/>
        <v>640</v>
      </c>
      <c r="O11" s="171">
        <f t="shared" si="1"/>
        <v>4</v>
      </c>
      <c r="P11" s="56"/>
    </row>
    <row r="12" spans="1:16" ht="20.100000000000001" customHeight="1" x14ac:dyDescent="0.25">
      <c r="A12" s="58">
        <v>5</v>
      </c>
      <c r="B12" s="166" t="str">
        <f>VLOOKUP(A12,'Data '!A6:J40,3,0)</f>
        <v>M. Mahi Mutawakkil</v>
      </c>
      <c r="C12" s="166" t="str">
        <f>VLOOKUP(A12,'Data '!A6:J40,2,0)</f>
        <v>Utsmaniyyah III</v>
      </c>
      <c r="D12" s="180">
        <f>REKAP!D12*10</f>
        <v>70</v>
      </c>
      <c r="E12" s="180">
        <f>REKAP!E12*10</f>
        <v>80</v>
      </c>
      <c r="F12" s="180">
        <f>REKAP!F12*10</f>
        <v>85</v>
      </c>
      <c r="G12" s="180">
        <f>REKAP!G12*10</f>
        <v>90</v>
      </c>
      <c r="H12" s="180">
        <f>REKAP!H12*10</f>
        <v>70</v>
      </c>
      <c r="I12" s="180">
        <f>REKAP!I12*10</f>
        <v>70</v>
      </c>
      <c r="J12" s="180">
        <f>REKAP!J12*10</f>
        <v>80</v>
      </c>
      <c r="K12" s="180">
        <f>REKAP!K12*10</f>
        <v>80</v>
      </c>
      <c r="L12" s="180">
        <f>REKAP!L12*10</f>
        <v>80</v>
      </c>
      <c r="M12" s="170"/>
      <c r="N12" s="171">
        <f t="shared" si="0"/>
        <v>705</v>
      </c>
      <c r="O12" s="171">
        <f t="shared" si="1"/>
        <v>2</v>
      </c>
      <c r="P12" s="56"/>
    </row>
    <row r="13" spans="1:16" ht="20.100000000000001" customHeight="1" x14ac:dyDescent="0.25">
      <c r="A13" s="58">
        <v>6</v>
      </c>
      <c r="B13" s="166" t="str">
        <f>VLOOKUP(A13,'Data '!A7:J41,3,0)</f>
        <v>Renoval Faiz Al Ghifari</v>
      </c>
      <c r="C13" s="166" t="str">
        <f>VLOOKUP(A13,'Data '!A7:J41,2,0)</f>
        <v>Utsmaniyyah III</v>
      </c>
      <c r="D13" s="180">
        <f>REKAP!D13*10</f>
        <v>75</v>
      </c>
      <c r="E13" s="180">
        <f>REKAP!E13*10</f>
        <v>70</v>
      </c>
      <c r="F13" s="180">
        <f>REKAP!F13*10</f>
        <v>65</v>
      </c>
      <c r="G13" s="180">
        <f>REKAP!G13*10</f>
        <v>65</v>
      </c>
      <c r="H13" s="180">
        <f>REKAP!H13*10</f>
        <v>65</v>
      </c>
      <c r="I13" s="180">
        <f>REKAP!I13*10</f>
        <v>65</v>
      </c>
      <c r="J13" s="180">
        <f>REKAP!J13*10</f>
        <v>70</v>
      </c>
      <c r="K13" s="180">
        <f>REKAP!K13*10</f>
        <v>60</v>
      </c>
      <c r="L13" s="180">
        <f>REKAP!L13*10</f>
        <v>90</v>
      </c>
      <c r="M13" s="170"/>
      <c r="N13" s="171">
        <f t="shared" si="0"/>
        <v>625</v>
      </c>
      <c r="O13" s="171">
        <f t="shared" si="1"/>
        <v>5</v>
      </c>
      <c r="P13" s="56"/>
    </row>
    <row r="14" spans="1:16" ht="20.100000000000001" customHeight="1" x14ac:dyDescent="0.25">
      <c r="A14" s="58">
        <v>7</v>
      </c>
      <c r="B14" s="166" t="str">
        <f>VLOOKUP(A14,'Data '!A8:J42,3,0)</f>
        <v>Sindi Wulandari</v>
      </c>
      <c r="C14" s="166" t="str">
        <f>VLOOKUP(A14,'Data '!A8:J42,2,0)</f>
        <v>Utsmaniyyah III</v>
      </c>
      <c r="D14" s="180">
        <f>REKAP!D14*10</f>
        <v>60</v>
      </c>
      <c r="E14" s="180">
        <f>REKAP!E14*10</f>
        <v>80</v>
      </c>
      <c r="F14" s="180">
        <f>REKAP!F14*10</f>
        <v>60</v>
      </c>
      <c r="G14" s="180">
        <f>REKAP!G14*10</f>
        <v>90</v>
      </c>
      <c r="H14" s="180">
        <f>REKAP!H14*10</f>
        <v>50</v>
      </c>
      <c r="I14" s="180">
        <f>REKAP!I14*10</f>
        <v>60</v>
      </c>
      <c r="J14" s="180">
        <f>REKAP!J14*10</f>
        <v>50</v>
      </c>
      <c r="K14" s="180">
        <f>REKAP!K14*10</f>
        <v>60</v>
      </c>
      <c r="L14" s="180">
        <f>REKAP!L14*10</f>
        <v>80</v>
      </c>
      <c r="M14" s="170"/>
      <c r="N14" s="171">
        <f t="shared" si="0"/>
        <v>590</v>
      </c>
      <c r="O14" s="171">
        <f t="shared" si="1"/>
        <v>7</v>
      </c>
      <c r="P14" s="56"/>
    </row>
    <row r="15" spans="1:16" ht="20.100000000000001" customHeight="1" x14ac:dyDescent="0.25">
      <c r="A15" s="58">
        <v>8</v>
      </c>
      <c r="B15" s="166">
        <f>VLOOKUP(A15,'Data '!A8:J43,3,0)</f>
        <v>0</v>
      </c>
      <c r="C15" s="166">
        <f>VLOOKUP(A15,'Data '!A8:J43,2,0)</f>
        <v>0</v>
      </c>
      <c r="D15" s="177"/>
      <c r="E15" s="177">
        <f>tauhid!N15</f>
        <v>0</v>
      </c>
      <c r="F15" s="177">
        <f>kitabah!N15</f>
        <v>0</v>
      </c>
      <c r="G15" s="177">
        <f>Wudlu!N15</f>
        <v>0</v>
      </c>
      <c r="H15" s="177">
        <f>'doa harian'!N15</f>
        <v>0</v>
      </c>
      <c r="I15" s="177">
        <f>'Tartil dan Fashohah'!L15</f>
        <v>0</v>
      </c>
      <c r="J15" s="177">
        <f>'Ghoroib '!N15</f>
        <v>0</v>
      </c>
      <c r="K15" s="177">
        <f>'Surat Pendek'!N15</f>
        <v>0</v>
      </c>
      <c r="L15" s="177">
        <f>Fasolatan!N15</f>
        <v>0</v>
      </c>
      <c r="M15" s="178"/>
      <c r="N15" s="171">
        <f t="shared" si="0"/>
        <v>0</v>
      </c>
      <c r="O15" s="171">
        <f t="shared" si="1"/>
        <v>8</v>
      </c>
      <c r="P15" s="56"/>
    </row>
    <row r="16" spans="1:16" ht="20.100000000000001" customHeight="1" x14ac:dyDescent="0.25">
      <c r="A16" s="58">
        <v>9</v>
      </c>
      <c r="B16" s="166">
        <f>VLOOKUP(A16,'Data '!A9:J44,3,0)</f>
        <v>0</v>
      </c>
      <c r="C16" s="166">
        <f>VLOOKUP(A16,'Data '!A9:J44,2,0)</f>
        <v>0</v>
      </c>
      <c r="D16" s="177">
        <f>tajwid!N16</f>
        <v>0</v>
      </c>
      <c r="E16" s="177">
        <f>tauhid!N16</f>
        <v>0</v>
      </c>
      <c r="F16" s="177">
        <f>kitabah!N16</f>
        <v>0</v>
      </c>
      <c r="G16" s="177">
        <f>Wudlu!N16</f>
        <v>0</v>
      </c>
      <c r="H16" s="177">
        <f>'doa harian'!N16</f>
        <v>0</v>
      </c>
      <c r="I16" s="177">
        <f>'Tartil dan Fashohah'!L16</f>
        <v>0</v>
      </c>
      <c r="J16" s="177">
        <f>'Ghoroib '!N16</f>
        <v>0</v>
      </c>
      <c r="K16" s="177">
        <f>'Surat Pendek'!N16</f>
        <v>0</v>
      </c>
      <c r="L16" s="177">
        <f>Fasolatan!N16</f>
        <v>0</v>
      </c>
      <c r="M16" s="178"/>
      <c r="N16" s="171">
        <f t="shared" si="0"/>
        <v>0</v>
      </c>
      <c r="O16" s="171"/>
      <c r="P16" s="56"/>
    </row>
    <row r="17" spans="1:16" ht="20.100000000000001" customHeight="1" x14ac:dyDescent="0.25">
      <c r="A17" s="58">
        <v>10</v>
      </c>
      <c r="B17" s="166">
        <f>VLOOKUP(A17,'Data '!A10:J45,3,0)</f>
        <v>0</v>
      </c>
      <c r="C17" s="166">
        <f>VLOOKUP(A17,'Data '!A10:J45,2,0)</f>
        <v>0</v>
      </c>
      <c r="D17" s="177">
        <f>tajwid!N17</f>
        <v>0</v>
      </c>
      <c r="E17" s="177">
        <f>tauhid!N17</f>
        <v>0</v>
      </c>
      <c r="F17" s="177">
        <f>kitabah!N17</f>
        <v>0</v>
      </c>
      <c r="G17" s="177">
        <f>Wudlu!N17</f>
        <v>0</v>
      </c>
      <c r="H17" s="177">
        <f>'doa harian'!N17</f>
        <v>0</v>
      </c>
      <c r="I17" s="177">
        <f>'Tartil dan Fashohah'!L17</f>
        <v>0</v>
      </c>
      <c r="J17" s="177">
        <f>'Ghoroib '!N17</f>
        <v>0</v>
      </c>
      <c r="K17" s="177">
        <f>'Surat Pendek'!N17</f>
        <v>0</v>
      </c>
      <c r="L17" s="177">
        <f>Fasolatan!N17</f>
        <v>0</v>
      </c>
      <c r="M17" s="178"/>
      <c r="N17" s="171">
        <f t="shared" si="0"/>
        <v>0</v>
      </c>
      <c r="O17" s="171"/>
      <c r="P17" s="56"/>
    </row>
    <row r="18" spans="1:16" ht="20.100000000000001" customHeight="1" x14ac:dyDescent="0.25">
      <c r="A18" s="58">
        <v>11</v>
      </c>
      <c r="B18" s="166">
        <f>VLOOKUP(A18,'Data '!A11:J46,3,0)</f>
        <v>0</v>
      </c>
      <c r="C18" s="166">
        <f>VLOOKUP(A18,'Data '!A11:J46,2,0)</f>
        <v>0</v>
      </c>
      <c r="D18" s="177">
        <f>tajwid!N18</f>
        <v>0</v>
      </c>
      <c r="E18" s="177">
        <f>tauhid!N18</f>
        <v>0</v>
      </c>
      <c r="F18" s="177">
        <f>kitabah!N18</f>
        <v>0</v>
      </c>
      <c r="G18" s="177">
        <f>Wudlu!N18</f>
        <v>0</v>
      </c>
      <c r="H18" s="177">
        <f>'doa harian'!N18</f>
        <v>0</v>
      </c>
      <c r="I18" s="177">
        <f>'Tartil dan Fashohah'!L18</f>
        <v>0</v>
      </c>
      <c r="J18" s="177">
        <f>'Ghoroib '!N18</f>
        <v>0</v>
      </c>
      <c r="K18" s="177">
        <f>'Surat Pendek'!N18</f>
        <v>0</v>
      </c>
      <c r="L18" s="177">
        <f>Fasolatan!N18</f>
        <v>0</v>
      </c>
      <c r="M18" s="178"/>
      <c r="N18" s="171">
        <f t="shared" si="0"/>
        <v>0</v>
      </c>
      <c r="O18" s="171"/>
      <c r="P18" s="56"/>
    </row>
    <row r="19" spans="1:16" ht="20.100000000000001" customHeight="1" x14ac:dyDescent="0.25">
      <c r="A19" s="58">
        <v>12</v>
      </c>
      <c r="B19" s="166">
        <f>VLOOKUP(A19,'Data '!A12:J47,3,0)</f>
        <v>0</v>
      </c>
      <c r="C19" s="166">
        <f>VLOOKUP(A19,'Data '!A12:J47,2,0)</f>
        <v>0</v>
      </c>
      <c r="D19" s="169">
        <f>tajwid!N19</f>
        <v>0</v>
      </c>
      <c r="E19" s="169">
        <f>tauhid!N19</f>
        <v>0</v>
      </c>
      <c r="F19" s="169">
        <f>kitabah!N19</f>
        <v>0</v>
      </c>
      <c r="G19" s="169">
        <f>Wudlu!N19</f>
        <v>0</v>
      </c>
      <c r="H19" s="169">
        <f>'doa harian'!N19</f>
        <v>0</v>
      </c>
      <c r="I19" s="169">
        <f>'Tartil dan Fashohah'!L19</f>
        <v>0</v>
      </c>
      <c r="J19" s="169">
        <f>'Ghoroib '!N19</f>
        <v>0</v>
      </c>
      <c r="K19" s="169">
        <f>'Surat Pendek'!N19</f>
        <v>0</v>
      </c>
      <c r="L19" s="169">
        <f>Fasolatan!N19</f>
        <v>0</v>
      </c>
      <c r="M19" s="170"/>
      <c r="N19" s="171">
        <f t="shared" si="0"/>
        <v>0</v>
      </c>
      <c r="O19" s="171"/>
      <c r="P19" s="56"/>
    </row>
    <row r="20" spans="1:16" ht="20.100000000000001" customHeight="1" x14ac:dyDescent="0.25">
      <c r="A20" s="58">
        <v>13</v>
      </c>
      <c r="B20" s="166">
        <f>VLOOKUP(A20,'Data '!A13:J48,3,0)</f>
        <v>0</v>
      </c>
      <c r="C20" s="166">
        <f>VLOOKUP(A20,'Data '!A13:J48,2,0)</f>
        <v>0</v>
      </c>
      <c r="D20" s="169">
        <f>tajwid!N20</f>
        <v>0</v>
      </c>
      <c r="E20" s="169">
        <f>tauhid!N20</f>
        <v>0</v>
      </c>
      <c r="F20" s="169">
        <f>kitabah!N20</f>
        <v>0</v>
      </c>
      <c r="G20" s="169">
        <f>Wudlu!N20</f>
        <v>0</v>
      </c>
      <c r="H20" s="169">
        <f>'doa harian'!N20</f>
        <v>0</v>
      </c>
      <c r="I20" s="169">
        <f>'Tartil dan Fashohah'!L20</f>
        <v>0</v>
      </c>
      <c r="J20" s="169">
        <f>'Ghoroib '!N20</f>
        <v>0</v>
      </c>
      <c r="K20" s="169">
        <f>'Surat Pendek'!N20</f>
        <v>0</v>
      </c>
      <c r="L20" s="169">
        <f>Fasolatan!N20</f>
        <v>0</v>
      </c>
      <c r="M20" s="170"/>
      <c r="N20" s="171">
        <f t="shared" si="0"/>
        <v>0</v>
      </c>
      <c r="O20" s="171"/>
      <c r="P20" s="56"/>
    </row>
    <row r="21" spans="1:16" ht="20.100000000000001" customHeight="1" x14ac:dyDescent="0.25">
      <c r="A21" s="58">
        <v>14</v>
      </c>
      <c r="B21" s="166">
        <f>VLOOKUP(A21,'Data '!A14:J49,3,0)</f>
        <v>0</v>
      </c>
      <c r="C21" s="166">
        <f>VLOOKUP(A21,'Data '!A14:J49,2,0)</f>
        <v>0</v>
      </c>
      <c r="D21" s="169">
        <f>tajwid!N21</f>
        <v>0</v>
      </c>
      <c r="E21" s="169">
        <f>tauhid!N21</f>
        <v>0</v>
      </c>
      <c r="F21" s="169">
        <f>kitabah!N21</f>
        <v>0</v>
      </c>
      <c r="G21" s="169">
        <f>Wudlu!N21</f>
        <v>0</v>
      </c>
      <c r="H21" s="169">
        <f>'doa harian'!N21</f>
        <v>0</v>
      </c>
      <c r="I21" s="169">
        <f>'Tartil dan Fashohah'!L21</f>
        <v>0</v>
      </c>
      <c r="J21" s="169">
        <f>'Ghoroib '!N21</f>
        <v>0</v>
      </c>
      <c r="K21" s="169">
        <f>'Surat Pendek'!N21</f>
        <v>0</v>
      </c>
      <c r="L21" s="169">
        <f>Fasolatan!N21</f>
        <v>0</v>
      </c>
      <c r="M21" s="170"/>
      <c r="N21" s="171">
        <f t="shared" si="0"/>
        <v>0</v>
      </c>
      <c r="O21" s="171"/>
      <c r="P21" s="56"/>
    </row>
    <row r="22" spans="1:16" ht="20.100000000000001" customHeight="1" x14ac:dyDescent="0.25">
      <c r="A22" s="58">
        <v>15</v>
      </c>
      <c r="B22" s="166">
        <f>VLOOKUP(A22,'Data '!A15:J50,3,0)</f>
        <v>0</v>
      </c>
      <c r="C22" s="166">
        <f>VLOOKUP(A22,'Data '!A15:J50,2,0)</f>
        <v>0</v>
      </c>
      <c r="D22" s="169">
        <f>tajwid!N22</f>
        <v>0</v>
      </c>
      <c r="E22" s="169">
        <f>tauhid!N22</f>
        <v>0</v>
      </c>
      <c r="F22" s="169">
        <f>kitabah!N22</f>
        <v>0</v>
      </c>
      <c r="G22" s="169">
        <f>Wudlu!N22</f>
        <v>0</v>
      </c>
      <c r="H22" s="169">
        <f>'doa harian'!N22</f>
        <v>0</v>
      </c>
      <c r="I22" s="169">
        <f>'Tartil dan Fashohah'!L22</f>
        <v>0</v>
      </c>
      <c r="J22" s="169">
        <f>'Ghoroib '!N22</f>
        <v>0</v>
      </c>
      <c r="K22" s="169">
        <f>'Surat Pendek'!N22</f>
        <v>0</v>
      </c>
      <c r="L22" s="169">
        <f>Fasolatan!N22</f>
        <v>0</v>
      </c>
      <c r="M22" s="170"/>
      <c r="N22" s="171">
        <f t="shared" si="0"/>
        <v>0</v>
      </c>
      <c r="O22" s="171"/>
      <c r="P22" s="56"/>
    </row>
    <row r="23" spans="1:16" ht="20.100000000000001" customHeight="1" x14ac:dyDescent="0.25">
      <c r="A23" s="58">
        <v>16</v>
      </c>
      <c r="B23" s="166">
        <f>VLOOKUP(A23,'Data '!A16:J51,3,0)</f>
        <v>0</v>
      </c>
      <c r="C23" s="166">
        <f>VLOOKUP(A23,'Data '!A16:J51,2,0)</f>
        <v>0</v>
      </c>
      <c r="D23" s="169">
        <f>tajwid!N23</f>
        <v>0</v>
      </c>
      <c r="E23" s="169">
        <f>tauhid!N23</f>
        <v>0</v>
      </c>
      <c r="F23" s="169">
        <f>kitabah!N23</f>
        <v>0</v>
      </c>
      <c r="G23" s="169">
        <f>Wudlu!N23</f>
        <v>0</v>
      </c>
      <c r="H23" s="169">
        <f>'doa harian'!N23</f>
        <v>0</v>
      </c>
      <c r="I23" s="169">
        <f>'Tartil dan Fashohah'!L23</f>
        <v>0</v>
      </c>
      <c r="J23" s="169">
        <f>'Ghoroib '!N23</f>
        <v>0</v>
      </c>
      <c r="K23" s="169">
        <f>'Surat Pendek'!N23</f>
        <v>0</v>
      </c>
      <c r="L23" s="169">
        <f>Fasolatan!N23</f>
        <v>0</v>
      </c>
      <c r="M23" s="170"/>
      <c r="N23" s="171">
        <f t="shared" si="0"/>
        <v>0</v>
      </c>
      <c r="O23" s="171"/>
      <c r="P23" s="56"/>
    </row>
    <row r="24" spans="1:16" ht="20.100000000000001" customHeight="1" x14ac:dyDescent="0.25">
      <c r="A24" s="58">
        <v>17</v>
      </c>
      <c r="B24" s="166">
        <f>VLOOKUP(A24,'Data '!A17:J52,3,0)</f>
        <v>0</v>
      </c>
      <c r="C24" s="166">
        <f>VLOOKUP(A24,'Data '!A17:J52,2,0)</f>
        <v>0</v>
      </c>
      <c r="D24" s="169">
        <f>tajwid!N24</f>
        <v>0</v>
      </c>
      <c r="E24" s="169">
        <f>tauhid!N24</f>
        <v>0</v>
      </c>
      <c r="F24" s="169">
        <f>kitabah!N24</f>
        <v>0</v>
      </c>
      <c r="G24" s="169">
        <f>Wudlu!N24</f>
        <v>0</v>
      </c>
      <c r="H24" s="169">
        <f>'doa harian'!N24</f>
        <v>0</v>
      </c>
      <c r="I24" s="169">
        <f>'Tartil dan Fashohah'!L24</f>
        <v>0</v>
      </c>
      <c r="J24" s="169">
        <f>'Ghoroib '!N24</f>
        <v>0</v>
      </c>
      <c r="K24" s="169">
        <f>'Surat Pendek'!N24</f>
        <v>0</v>
      </c>
      <c r="L24" s="169">
        <f>Fasolatan!N24</f>
        <v>0</v>
      </c>
      <c r="M24" s="170"/>
      <c r="N24" s="171">
        <f t="shared" si="0"/>
        <v>0</v>
      </c>
      <c r="O24" s="171"/>
      <c r="P24" s="56"/>
    </row>
    <row r="25" spans="1:16" ht="20.100000000000001" customHeight="1" x14ac:dyDescent="0.25">
      <c r="A25" s="58">
        <v>18</v>
      </c>
      <c r="B25" s="166">
        <f>VLOOKUP(A25,'Data '!A18:J53,3,0)</f>
        <v>0</v>
      </c>
      <c r="C25" s="166">
        <f>VLOOKUP(A25,'Data '!A18:J53,2,0)</f>
        <v>0</v>
      </c>
      <c r="D25" s="169">
        <f>tajwid!N25</f>
        <v>0</v>
      </c>
      <c r="E25" s="169">
        <f>tauhid!N25</f>
        <v>0</v>
      </c>
      <c r="F25" s="169">
        <f>kitabah!N25</f>
        <v>0</v>
      </c>
      <c r="G25" s="169">
        <f>Wudlu!N25</f>
        <v>0</v>
      </c>
      <c r="H25" s="169">
        <f>'doa harian'!N25</f>
        <v>0</v>
      </c>
      <c r="I25" s="169">
        <f>'Tartil dan Fashohah'!L25</f>
        <v>0</v>
      </c>
      <c r="J25" s="169">
        <f>'Ghoroib '!N25</f>
        <v>0</v>
      </c>
      <c r="K25" s="169">
        <f>'Surat Pendek'!N25</f>
        <v>0</v>
      </c>
      <c r="L25" s="169">
        <f>Fasolatan!N25</f>
        <v>0</v>
      </c>
      <c r="M25" s="170"/>
      <c r="N25" s="171">
        <f t="shared" si="0"/>
        <v>0</v>
      </c>
      <c r="O25" s="171"/>
      <c r="P25" s="56"/>
    </row>
    <row r="26" spans="1:16" ht="20.100000000000001" customHeight="1" x14ac:dyDescent="0.25">
      <c r="A26" s="58">
        <v>19</v>
      </c>
      <c r="B26" s="166">
        <f>VLOOKUP(A26,'Data '!A19:J54,3,0)</f>
        <v>0</v>
      </c>
      <c r="C26" s="166">
        <f>VLOOKUP(A26,'Data '!A19:J54,2,0)</f>
        <v>0</v>
      </c>
      <c r="D26" s="169">
        <f>tajwid!N26</f>
        <v>0</v>
      </c>
      <c r="E26" s="169">
        <f>tauhid!N26</f>
        <v>0</v>
      </c>
      <c r="F26" s="169">
        <f>kitabah!N26</f>
        <v>0</v>
      </c>
      <c r="G26" s="169">
        <f>Wudlu!N26</f>
        <v>0</v>
      </c>
      <c r="H26" s="169">
        <f>'doa harian'!N26</f>
        <v>0</v>
      </c>
      <c r="I26" s="169">
        <f>'Tartil dan Fashohah'!L26</f>
        <v>0</v>
      </c>
      <c r="J26" s="169">
        <f>'Ghoroib '!N26</f>
        <v>0</v>
      </c>
      <c r="K26" s="169">
        <f>'Surat Pendek'!N26</f>
        <v>0</v>
      </c>
      <c r="L26" s="169">
        <f>Fasolatan!N26</f>
        <v>0</v>
      </c>
      <c r="M26" s="170"/>
      <c r="N26" s="171">
        <f t="shared" si="0"/>
        <v>0</v>
      </c>
      <c r="O26" s="171"/>
      <c r="P26" s="56"/>
    </row>
    <row r="27" spans="1:16" ht="20.100000000000001" customHeight="1" x14ac:dyDescent="0.25">
      <c r="A27" s="58">
        <v>20</v>
      </c>
      <c r="B27" s="166">
        <f>VLOOKUP(A27,'Data '!A20:J55,3,0)</f>
        <v>0</v>
      </c>
      <c r="C27" s="166">
        <f>VLOOKUP(A27,'Data '!A20:J55,2,0)</f>
        <v>0</v>
      </c>
      <c r="D27" s="169">
        <f>tajwid!N27</f>
        <v>0</v>
      </c>
      <c r="E27" s="169">
        <f>tauhid!N27</f>
        <v>0</v>
      </c>
      <c r="F27" s="169">
        <f>kitabah!N27</f>
        <v>0</v>
      </c>
      <c r="G27" s="169">
        <f>Wudlu!N27</f>
        <v>0</v>
      </c>
      <c r="H27" s="169">
        <f>'doa harian'!N27</f>
        <v>0</v>
      </c>
      <c r="I27" s="169">
        <f>'Tartil dan Fashohah'!L27</f>
        <v>0</v>
      </c>
      <c r="J27" s="169">
        <f>'Ghoroib '!N27</f>
        <v>0</v>
      </c>
      <c r="K27" s="169">
        <f>'Surat Pendek'!N27</f>
        <v>0</v>
      </c>
      <c r="L27" s="169">
        <f>Fasolatan!N27</f>
        <v>0</v>
      </c>
      <c r="M27" s="170"/>
      <c r="N27" s="171">
        <f t="shared" si="0"/>
        <v>0</v>
      </c>
      <c r="O27" s="171"/>
      <c r="P27" s="56"/>
    </row>
    <row r="28" spans="1:16" ht="20.100000000000001" customHeight="1" x14ac:dyDescent="0.25">
      <c r="A28" s="58">
        <v>21</v>
      </c>
      <c r="B28" s="166">
        <f>VLOOKUP(A28,'Data '!A21:J56,3,0)</f>
        <v>0</v>
      </c>
      <c r="C28" s="166">
        <f>VLOOKUP(A28,'Data '!A21:J56,2,0)</f>
        <v>0</v>
      </c>
      <c r="D28" s="169">
        <f>tajwid!N28</f>
        <v>0</v>
      </c>
      <c r="E28" s="169">
        <f>tauhid!N28</f>
        <v>0</v>
      </c>
      <c r="F28" s="169">
        <f>kitabah!N28</f>
        <v>0</v>
      </c>
      <c r="G28" s="169">
        <f>Wudlu!N28</f>
        <v>0</v>
      </c>
      <c r="H28" s="169">
        <f>'doa harian'!N28</f>
        <v>0</v>
      </c>
      <c r="I28" s="169">
        <f>'Tartil dan Fashohah'!L28</f>
        <v>0</v>
      </c>
      <c r="J28" s="169">
        <f>'Ghoroib '!N28</f>
        <v>0</v>
      </c>
      <c r="K28" s="169">
        <f>'Surat Pendek'!N28</f>
        <v>0</v>
      </c>
      <c r="L28" s="169">
        <f>Fasolatan!N28</f>
        <v>0</v>
      </c>
      <c r="M28" s="170"/>
      <c r="N28" s="171">
        <f t="shared" si="0"/>
        <v>0</v>
      </c>
      <c r="O28" s="171"/>
      <c r="P28" s="56"/>
    </row>
    <row r="29" spans="1:16" ht="20.100000000000001" customHeight="1" x14ac:dyDescent="0.25">
      <c r="D29" s="60"/>
      <c r="E29" s="60"/>
      <c r="F29" s="60"/>
      <c r="G29" s="60"/>
      <c r="H29" s="60"/>
      <c r="I29" s="60"/>
      <c r="J29" s="60"/>
      <c r="K29" s="60"/>
      <c r="L29" s="60"/>
    </row>
    <row r="30" spans="1:16" ht="20.100000000000001" customHeight="1" x14ac:dyDescent="0.25">
      <c r="A30" s="60"/>
      <c r="B30" s="60" t="s">
        <v>138</v>
      </c>
      <c r="C30" s="60"/>
      <c r="D30" s="60"/>
      <c r="K30" s="59" t="str">
        <f>'Data '!H38</f>
        <v>Tambak Jaya,                   September 2025</v>
      </c>
    </row>
    <row r="31" spans="1:16" ht="20.100000000000001" customHeight="1" x14ac:dyDescent="0.25">
      <c r="A31" s="60"/>
      <c r="B31" s="63"/>
      <c r="C31" s="56" t="s">
        <v>101</v>
      </c>
      <c r="D31" s="60"/>
      <c r="K31" s="60" t="s">
        <v>53</v>
      </c>
    </row>
    <row r="32" spans="1:16" ht="20.100000000000001" customHeight="1" x14ac:dyDescent="0.25">
      <c r="A32" s="60"/>
      <c r="B32" s="64"/>
      <c r="C32" s="56" t="s">
        <v>139</v>
      </c>
      <c r="D32" s="60"/>
      <c r="K32" s="60"/>
    </row>
    <row r="33" spans="1:16" ht="20.100000000000001" customHeight="1" x14ac:dyDescent="0.25">
      <c r="A33" s="60"/>
      <c r="B33" s="60"/>
      <c r="C33" s="60"/>
      <c r="D33" s="60"/>
      <c r="K33" s="60"/>
    </row>
    <row r="34" spans="1:16" ht="20.100000000000001" customHeight="1" x14ac:dyDescent="0.25">
      <c r="A34" s="60"/>
      <c r="B34" s="60"/>
      <c r="C34" s="60"/>
      <c r="D34" s="60"/>
      <c r="K34" s="60"/>
    </row>
    <row r="35" spans="1:16" ht="20.100000000000001" customHeight="1" x14ac:dyDescent="0.25">
      <c r="A35" s="60"/>
      <c r="B35" s="60"/>
      <c r="C35" s="60"/>
      <c r="D35" s="60"/>
      <c r="K35" s="61" t="s">
        <v>96</v>
      </c>
    </row>
    <row r="36" spans="1:16" ht="20.100000000000001" customHeight="1" x14ac:dyDescent="0.25">
      <c r="A36" s="60"/>
      <c r="B36" s="60"/>
      <c r="C36" s="60"/>
      <c r="D36" s="60"/>
    </row>
    <row r="37" spans="1:16" ht="20.100000000000001" customHeight="1" x14ac:dyDescent="0.25">
      <c r="A37" s="138" t="s">
        <v>0</v>
      </c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</row>
    <row r="38" spans="1:16" ht="20.100000000000001" customHeight="1" x14ac:dyDescent="0.25">
      <c r="A38" s="138" t="s">
        <v>12</v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</row>
    <row r="39" spans="1:16" ht="20.100000000000001" customHeight="1" x14ac:dyDescent="0.25">
      <c r="A39" s="60"/>
      <c r="B39" s="60"/>
      <c r="C39" s="61"/>
      <c r="D39" s="61"/>
      <c r="E39" s="61"/>
      <c r="F39" s="61"/>
      <c r="G39" s="61"/>
      <c r="H39" s="61"/>
      <c r="I39" s="61"/>
      <c r="J39" s="61"/>
      <c r="K39" s="61"/>
      <c r="L39" s="62"/>
      <c r="M39" s="60"/>
      <c r="N39" s="60"/>
      <c r="O39" s="60"/>
      <c r="P39" s="61"/>
    </row>
    <row r="40" spans="1:16" ht="20.100000000000001" customHeight="1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</row>
    <row r="41" spans="1:16" ht="20.100000000000001" customHeight="1" x14ac:dyDescent="0.25">
      <c r="A41" s="139" t="s">
        <v>1</v>
      </c>
      <c r="B41" s="139" t="s">
        <v>2</v>
      </c>
      <c r="C41" s="139" t="s">
        <v>3</v>
      </c>
      <c r="D41" s="139" t="s">
        <v>52</v>
      </c>
      <c r="E41" s="139"/>
      <c r="F41" s="139"/>
      <c r="G41" s="139"/>
      <c r="H41" s="139"/>
      <c r="I41" s="139"/>
      <c r="J41" s="139"/>
      <c r="K41" s="139"/>
      <c r="L41" s="139"/>
      <c r="M41" s="139"/>
      <c r="N41" s="140" t="s">
        <v>7</v>
      </c>
      <c r="O41" s="100"/>
      <c r="P41" s="139" t="s">
        <v>8</v>
      </c>
    </row>
    <row r="42" spans="1:16" ht="20.100000000000001" customHeight="1" x14ac:dyDescent="0.25">
      <c r="A42" s="139"/>
      <c r="B42" s="139"/>
      <c r="C42" s="139"/>
      <c r="D42" s="139"/>
      <c r="E42" s="139"/>
      <c r="F42" s="139"/>
      <c r="G42" s="139"/>
      <c r="H42" s="139"/>
      <c r="I42" s="139"/>
      <c r="J42" s="139"/>
      <c r="K42" s="139"/>
      <c r="L42" s="139"/>
      <c r="M42" s="139"/>
      <c r="N42" s="140"/>
      <c r="O42" s="100"/>
      <c r="P42" s="139"/>
    </row>
    <row r="43" spans="1:16" ht="20.100000000000001" customHeight="1" x14ac:dyDescent="0.25">
      <c r="A43" s="139"/>
      <c r="B43" s="139"/>
      <c r="C43" s="139"/>
      <c r="D43" s="57" t="s">
        <v>20</v>
      </c>
      <c r="E43" s="57" t="s">
        <v>58</v>
      </c>
      <c r="F43" s="57" t="s">
        <v>131</v>
      </c>
      <c r="G43" s="57" t="s">
        <v>132</v>
      </c>
      <c r="H43" s="57" t="s">
        <v>133</v>
      </c>
      <c r="I43" s="57" t="s">
        <v>135</v>
      </c>
      <c r="J43" s="57" t="s">
        <v>134</v>
      </c>
      <c r="K43" s="57" t="s">
        <v>136</v>
      </c>
      <c r="L43" s="57" t="s">
        <v>137</v>
      </c>
      <c r="M43" s="57"/>
      <c r="N43" s="140"/>
      <c r="O43" s="100"/>
      <c r="P43" s="139"/>
    </row>
    <row r="44" spans="1:16" ht="20.100000000000001" customHeight="1" x14ac:dyDescent="0.25">
      <c r="A44" s="58">
        <v>1</v>
      </c>
      <c r="B44" s="56" t="str">
        <f>B8</f>
        <v>Ahmad Alhabib Ramadhan</v>
      </c>
      <c r="C44" s="56" t="s">
        <v>174</v>
      </c>
      <c r="D44" s="56" t="str">
        <f>IF(D8&gt;=60,"LULUS","TIDAK LULUS")</f>
        <v>LULUS</v>
      </c>
      <c r="E44" s="56" t="str">
        <f t="shared" ref="E44:L44" si="2">IF(E8&gt;=60,"LULUS","TIDAK LULUS")</f>
        <v>LULUS</v>
      </c>
      <c r="F44" s="56" t="str">
        <f t="shared" si="2"/>
        <v>LULUS</v>
      </c>
      <c r="G44" s="56" t="str">
        <f t="shared" si="2"/>
        <v>LULUS</v>
      </c>
      <c r="H44" s="56" t="str">
        <f t="shared" si="2"/>
        <v>LULUS</v>
      </c>
      <c r="I44" s="56" t="str">
        <f t="shared" si="2"/>
        <v>LULUS</v>
      </c>
      <c r="J44" s="56" t="str">
        <f t="shared" si="2"/>
        <v>LULUS</v>
      </c>
      <c r="K44" s="56" t="str">
        <f t="shared" si="2"/>
        <v>LULUS</v>
      </c>
      <c r="L44" s="56" t="str">
        <f t="shared" si="2"/>
        <v>LULUS</v>
      </c>
      <c r="M44" s="58"/>
      <c r="N44" s="55">
        <f>SUM(D44:M44)</f>
        <v>0</v>
      </c>
      <c r="O44" s="55"/>
      <c r="P44" s="56"/>
    </row>
    <row r="45" spans="1:16" ht="20.100000000000001" customHeight="1" x14ac:dyDescent="0.25">
      <c r="A45" s="58">
        <v>2</v>
      </c>
      <c r="B45" s="56" t="str">
        <f t="shared" ref="B45:B64" si="3">B9</f>
        <v>Aulia Zahra El Fikri</v>
      </c>
      <c r="C45" s="56" t="s">
        <v>174</v>
      </c>
      <c r="D45" s="56" t="str">
        <f t="shared" ref="D45:L60" si="4">IF(D9&gt;=60,"LULUS","TIDAK LULUS")</f>
        <v>LULUS</v>
      </c>
      <c r="E45" s="56" t="str">
        <f t="shared" si="4"/>
        <v>LULUS</v>
      </c>
      <c r="F45" s="56" t="str">
        <f t="shared" si="4"/>
        <v>LULUS</v>
      </c>
      <c r="G45" s="56" t="str">
        <f t="shared" si="4"/>
        <v>LULUS</v>
      </c>
      <c r="H45" s="56" t="str">
        <f t="shared" si="4"/>
        <v>LULUS</v>
      </c>
      <c r="I45" s="56" t="str">
        <f t="shared" si="4"/>
        <v>LULUS</v>
      </c>
      <c r="J45" s="56" t="str">
        <f t="shared" si="4"/>
        <v>LULUS</v>
      </c>
      <c r="K45" s="56" t="str">
        <f t="shared" si="4"/>
        <v>LULUS</v>
      </c>
      <c r="L45" s="56" t="str">
        <f t="shared" si="4"/>
        <v>LULUS</v>
      </c>
      <c r="M45" s="58"/>
      <c r="N45" s="55">
        <f>SUM(D45:M45)</f>
        <v>0</v>
      </c>
      <c r="O45" s="55"/>
      <c r="P45" s="56"/>
    </row>
    <row r="46" spans="1:16" ht="20.100000000000001" customHeight="1" x14ac:dyDescent="0.25">
      <c r="A46" s="58">
        <v>3</v>
      </c>
      <c r="B46" s="56" t="str">
        <f t="shared" si="3"/>
        <v>Nur Habibi</v>
      </c>
      <c r="C46" s="56" t="s">
        <v>174</v>
      </c>
      <c r="D46" s="56" t="str">
        <f t="shared" si="4"/>
        <v>TIDAK LULUS</v>
      </c>
      <c r="E46" s="56" t="str">
        <f t="shared" si="4"/>
        <v>LULUS</v>
      </c>
      <c r="F46" s="56" t="str">
        <f t="shared" si="4"/>
        <v>LULUS</v>
      </c>
      <c r="G46" s="56" t="str">
        <f t="shared" si="4"/>
        <v>LULUS</v>
      </c>
      <c r="H46" s="56" t="str">
        <f t="shared" si="4"/>
        <v>TIDAK LULUS</v>
      </c>
      <c r="I46" s="56" t="str">
        <f t="shared" si="4"/>
        <v>LULUS</v>
      </c>
      <c r="J46" s="56" t="str">
        <f t="shared" si="4"/>
        <v>LULUS</v>
      </c>
      <c r="K46" s="56" t="str">
        <f t="shared" si="4"/>
        <v>TIDAK LULUS</v>
      </c>
      <c r="L46" s="56" t="str">
        <f t="shared" si="4"/>
        <v>LULUS</v>
      </c>
      <c r="M46" s="58"/>
      <c r="N46" s="55">
        <f t="shared" ref="N46:N64" si="5">SUM(D46:M46)</f>
        <v>0</v>
      </c>
      <c r="O46" s="55"/>
      <c r="P46" s="56"/>
    </row>
    <row r="47" spans="1:16" ht="20.100000000000001" customHeight="1" x14ac:dyDescent="0.25">
      <c r="A47" s="58">
        <v>4</v>
      </c>
      <c r="B47" s="56" t="str">
        <f t="shared" si="3"/>
        <v>M. Fatan Azzamy Isma'il</v>
      </c>
      <c r="C47" s="56" t="s">
        <v>174</v>
      </c>
      <c r="D47" s="56" t="str">
        <f t="shared" si="4"/>
        <v>LULUS</v>
      </c>
      <c r="E47" s="56" t="str">
        <f t="shared" si="4"/>
        <v>LULUS</v>
      </c>
      <c r="F47" s="56" t="str">
        <f t="shared" si="4"/>
        <v>LULUS</v>
      </c>
      <c r="G47" s="56" t="str">
        <f t="shared" si="4"/>
        <v>LULUS</v>
      </c>
      <c r="H47" s="56" t="str">
        <f t="shared" si="4"/>
        <v>LULUS</v>
      </c>
      <c r="I47" s="56" t="str">
        <f t="shared" si="4"/>
        <v>LULUS</v>
      </c>
      <c r="J47" s="56" t="str">
        <f t="shared" si="4"/>
        <v>LULUS</v>
      </c>
      <c r="K47" s="56" t="str">
        <f t="shared" si="4"/>
        <v>LULUS</v>
      </c>
      <c r="L47" s="56" t="str">
        <f t="shared" si="4"/>
        <v>LULUS</v>
      </c>
      <c r="M47" s="58"/>
      <c r="N47" s="55">
        <f t="shared" si="5"/>
        <v>0</v>
      </c>
      <c r="O47" s="55"/>
      <c r="P47" s="56"/>
    </row>
    <row r="48" spans="1:16" ht="20.100000000000001" customHeight="1" x14ac:dyDescent="0.25">
      <c r="A48" s="58">
        <v>5</v>
      </c>
      <c r="B48" s="56" t="str">
        <f t="shared" si="3"/>
        <v>M. Mahi Mutawakkil</v>
      </c>
      <c r="C48" s="56" t="s">
        <v>174</v>
      </c>
      <c r="D48" s="56" t="str">
        <f t="shared" si="4"/>
        <v>LULUS</v>
      </c>
      <c r="E48" s="56" t="str">
        <f t="shared" si="4"/>
        <v>LULUS</v>
      </c>
      <c r="F48" s="56" t="str">
        <f t="shared" si="4"/>
        <v>LULUS</v>
      </c>
      <c r="G48" s="56" t="str">
        <f t="shared" si="4"/>
        <v>LULUS</v>
      </c>
      <c r="H48" s="56" t="str">
        <f t="shared" si="4"/>
        <v>LULUS</v>
      </c>
      <c r="I48" s="56" t="str">
        <f t="shared" si="4"/>
        <v>LULUS</v>
      </c>
      <c r="J48" s="56" t="str">
        <f t="shared" si="4"/>
        <v>LULUS</v>
      </c>
      <c r="K48" s="56" t="str">
        <f t="shared" si="4"/>
        <v>LULUS</v>
      </c>
      <c r="L48" s="56" t="str">
        <f t="shared" si="4"/>
        <v>LULUS</v>
      </c>
      <c r="M48" s="58"/>
      <c r="N48" s="55">
        <f t="shared" si="5"/>
        <v>0</v>
      </c>
      <c r="O48" s="55"/>
      <c r="P48" s="56"/>
    </row>
    <row r="49" spans="1:16" ht="20.100000000000001" customHeight="1" x14ac:dyDescent="0.25">
      <c r="A49" s="58">
        <v>6</v>
      </c>
      <c r="B49" s="56" t="str">
        <f t="shared" si="3"/>
        <v>Renoval Faiz Al Ghifari</v>
      </c>
      <c r="C49" s="56" t="s">
        <v>174</v>
      </c>
      <c r="D49" s="56" t="str">
        <f t="shared" si="4"/>
        <v>LULUS</v>
      </c>
      <c r="E49" s="56" t="str">
        <f t="shared" si="4"/>
        <v>LULUS</v>
      </c>
      <c r="F49" s="56" t="str">
        <f t="shared" si="4"/>
        <v>LULUS</v>
      </c>
      <c r="G49" s="56" t="str">
        <f t="shared" si="4"/>
        <v>LULUS</v>
      </c>
      <c r="H49" s="56" t="str">
        <f t="shared" si="4"/>
        <v>LULUS</v>
      </c>
      <c r="I49" s="56" t="str">
        <f t="shared" si="4"/>
        <v>LULUS</v>
      </c>
      <c r="J49" s="56" t="str">
        <f t="shared" si="4"/>
        <v>LULUS</v>
      </c>
      <c r="K49" s="56" t="str">
        <f t="shared" si="4"/>
        <v>LULUS</v>
      </c>
      <c r="L49" s="56" t="str">
        <f t="shared" si="4"/>
        <v>LULUS</v>
      </c>
      <c r="M49" s="58"/>
      <c r="N49" s="55">
        <f t="shared" si="5"/>
        <v>0</v>
      </c>
      <c r="O49" s="55"/>
      <c r="P49" s="56"/>
    </row>
    <row r="50" spans="1:16" ht="20.100000000000001" customHeight="1" x14ac:dyDescent="0.25">
      <c r="A50" s="58">
        <v>7</v>
      </c>
      <c r="B50" s="56" t="str">
        <f t="shared" si="3"/>
        <v>Sindi Wulandari</v>
      </c>
      <c r="C50" s="56" t="s">
        <v>174</v>
      </c>
      <c r="D50" s="56" t="str">
        <f t="shared" si="4"/>
        <v>LULUS</v>
      </c>
      <c r="E50" s="56" t="str">
        <f t="shared" si="4"/>
        <v>LULUS</v>
      </c>
      <c r="F50" s="56" t="str">
        <f t="shared" si="4"/>
        <v>LULUS</v>
      </c>
      <c r="G50" s="56" t="str">
        <f t="shared" si="4"/>
        <v>LULUS</v>
      </c>
      <c r="H50" s="56" t="str">
        <f t="shared" si="4"/>
        <v>TIDAK LULUS</v>
      </c>
      <c r="I50" s="56" t="str">
        <f t="shared" si="4"/>
        <v>LULUS</v>
      </c>
      <c r="J50" s="56" t="str">
        <f t="shared" si="4"/>
        <v>TIDAK LULUS</v>
      </c>
      <c r="K50" s="56" t="str">
        <f t="shared" si="4"/>
        <v>LULUS</v>
      </c>
      <c r="L50" s="56" t="str">
        <f t="shared" si="4"/>
        <v>LULUS</v>
      </c>
      <c r="M50" s="58"/>
      <c r="N50" s="55">
        <f t="shared" si="5"/>
        <v>0</v>
      </c>
      <c r="O50" s="55"/>
      <c r="P50" s="56"/>
    </row>
    <row r="51" spans="1:16" ht="20.100000000000001" customHeight="1" x14ac:dyDescent="0.25">
      <c r="A51" s="58">
        <v>8</v>
      </c>
      <c r="B51" s="56">
        <f t="shared" si="3"/>
        <v>0</v>
      </c>
      <c r="C51" s="56" t="s">
        <v>174</v>
      </c>
      <c r="D51" s="56" t="str">
        <f t="shared" si="4"/>
        <v>TIDAK LULUS</v>
      </c>
      <c r="E51" s="56" t="str">
        <f t="shared" si="4"/>
        <v>TIDAK LULUS</v>
      </c>
      <c r="F51" s="56" t="str">
        <f t="shared" si="4"/>
        <v>TIDAK LULUS</v>
      </c>
      <c r="G51" s="56" t="str">
        <f t="shared" si="4"/>
        <v>TIDAK LULUS</v>
      </c>
      <c r="H51" s="56" t="str">
        <f t="shared" si="4"/>
        <v>TIDAK LULUS</v>
      </c>
      <c r="I51" s="56" t="str">
        <f t="shared" si="4"/>
        <v>TIDAK LULUS</v>
      </c>
      <c r="J51" s="56" t="str">
        <f t="shared" si="4"/>
        <v>TIDAK LULUS</v>
      </c>
      <c r="K51" s="56" t="str">
        <f t="shared" si="4"/>
        <v>TIDAK LULUS</v>
      </c>
      <c r="L51" s="56" t="str">
        <f t="shared" si="4"/>
        <v>TIDAK LULUS</v>
      </c>
      <c r="M51" s="58"/>
      <c r="N51" s="55">
        <f t="shared" si="5"/>
        <v>0</v>
      </c>
      <c r="O51" s="55"/>
      <c r="P51" s="56"/>
    </row>
    <row r="52" spans="1:16" ht="20.100000000000001" customHeight="1" x14ac:dyDescent="0.25">
      <c r="A52" s="58">
        <v>9</v>
      </c>
      <c r="B52" s="56">
        <f t="shared" si="3"/>
        <v>0</v>
      </c>
      <c r="C52" s="56" t="s">
        <v>174</v>
      </c>
      <c r="D52" s="56" t="str">
        <f t="shared" si="4"/>
        <v>TIDAK LULUS</v>
      </c>
      <c r="E52" s="56" t="str">
        <f t="shared" si="4"/>
        <v>TIDAK LULUS</v>
      </c>
      <c r="F52" s="56" t="str">
        <f t="shared" si="4"/>
        <v>TIDAK LULUS</v>
      </c>
      <c r="G52" s="56" t="str">
        <f t="shared" si="4"/>
        <v>TIDAK LULUS</v>
      </c>
      <c r="H52" s="56" t="str">
        <f t="shared" si="4"/>
        <v>TIDAK LULUS</v>
      </c>
      <c r="I52" s="56" t="str">
        <f t="shared" si="4"/>
        <v>TIDAK LULUS</v>
      </c>
      <c r="J52" s="56" t="str">
        <f t="shared" si="4"/>
        <v>TIDAK LULUS</v>
      </c>
      <c r="K52" s="56" t="str">
        <f t="shared" si="4"/>
        <v>TIDAK LULUS</v>
      </c>
      <c r="L52" s="56" t="str">
        <f t="shared" si="4"/>
        <v>TIDAK LULUS</v>
      </c>
      <c r="M52" s="58"/>
      <c r="N52" s="55">
        <f t="shared" si="5"/>
        <v>0</v>
      </c>
      <c r="O52" s="55"/>
      <c r="P52" s="56"/>
    </row>
    <row r="53" spans="1:16" ht="20.100000000000001" customHeight="1" x14ac:dyDescent="0.25">
      <c r="A53" s="58">
        <v>10</v>
      </c>
      <c r="B53" s="56">
        <f t="shared" si="3"/>
        <v>0</v>
      </c>
      <c r="C53" s="56" t="s">
        <v>174</v>
      </c>
      <c r="D53" s="56" t="str">
        <f t="shared" si="4"/>
        <v>TIDAK LULUS</v>
      </c>
      <c r="E53" s="56" t="str">
        <f t="shared" si="4"/>
        <v>TIDAK LULUS</v>
      </c>
      <c r="F53" s="56" t="str">
        <f t="shared" si="4"/>
        <v>TIDAK LULUS</v>
      </c>
      <c r="G53" s="56" t="str">
        <f t="shared" si="4"/>
        <v>TIDAK LULUS</v>
      </c>
      <c r="H53" s="56" t="str">
        <f t="shared" si="4"/>
        <v>TIDAK LULUS</v>
      </c>
      <c r="I53" s="56" t="str">
        <f t="shared" si="4"/>
        <v>TIDAK LULUS</v>
      </c>
      <c r="J53" s="56" t="str">
        <f t="shared" si="4"/>
        <v>TIDAK LULUS</v>
      </c>
      <c r="K53" s="56" t="str">
        <f t="shared" si="4"/>
        <v>TIDAK LULUS</v>
      </c>
      <c r="L53" s="56" t="str">
        <f t="shared" si="4"/>
        <v>TIDAK LULUS</v>
      </c>
      <c r="M53" s="58"/>
      <c r="N53" s="55">
        <f t="shared" si="5"/>
        <v>0</v>
      </c>
      <c r="O53" s="55"/>
      <c r="P53" s="56"/>
    </row>
    <row r="54" spans="1:16" ht="20.100000000000001" customHeight="1" x14ac:dyDescent="0.25">
      <c r="A54" s="58">
        <v>11</v>
      </c>
      <c r="B54" s="56">
        <f t="shared" si="3"/>
        <v>0</v>
      </c>
      <c r="C54" s="56" t="s">
        <v>174</v>
      </c>
      <c r="D54" s="56" t="str">
        <f t="shared" si="4"/>
        <v>TIDAK LULUS</v>
      </c>
      <c r="E54" s="56" t="str">
        <f t="shared" si="4"/>
        <v>TIDAK LULUS</v>
      </c>
      <c r="F54" s="56" t="str">
        <f t="shared" si="4"/>
        <v>TIDAK LULUS</v>
      </c>
      <c r="G54" s="56" t="str">
        <f t="shared" si="4"/>
        <v>TIDAK LULUS</v>
      </c>
      <c r="H54" s="56" t="str">
        <f t="shared" si="4"/>
        <v>TIDAK LULUS</v>
      </c>
      <c r="I54" s="56" t="str">
        <f t="shared" si="4"/>
        <v>TIDAK LULUS</v>
      </c>
      <c r="J54" s="56" t="str">
        <f t="shared" si="4"/>
        <v>TIDAK LULUS</v>
      </c>
      <c r="K54" s="56" t="str">
        <f t="shared" si="4"/>
        <v>TIDAK LULUS</v>
      </c>
      <c r="L54" s="56" t="str">
        <f t="shared" si="4"/>
        <v>TIDAK LULUS</v>
      </c>
      <c r="M54" s="58"/>
      <c r="N54" s="55">
        <f t="shared" si="5"/>
        <v>0</v>
      </c>
      <c r="O54" s="55"/>
      <c r="P54" s="56"/>
    </row>
    <row r="55" spans="1:16" ht="20.100000000000001" customHeight="1" x14ac:dyDescent="0.25">
      <c r="A55" s="58">
        <v>12</v>
      </c>
      <c r="B55" s="56">
        <f t="shared" si="3"/>
        <v>0</v>
      </c>
      <c r="C55" s="56" t="s">
        <v>174</v>
      </c>
      <c r="D55" s="56" t="str">
        <f t="shared" si="4"/>
        <v>TIDAK LULUS</v>
      </c>
      <c r="E55" s="56" t="str">
        <f t="shared" si="4"/>
        <v>TIDAK LULUS</v>
      </c>
      <c r="F55" s="56" t="str">
        <f t="shared" si="4"/>
        <v>TIDAK LULUS</v>
      </c>
      <c r="G55" s="56" t="str">
        <f t="shared" si="4"/>
        <v>TIDAK LULUS</v>
      </c>
      <c r="H55" s="56" t="str">
        <f t="shared" si="4"/>
        <v>TIDAK LULUS</v>
      </c>
      <c r="I55" s="56" t="str">
        <f t="shared" si="4"/>
        <v>TIDAK LULUS</v>
      </c>
      <c r="J55" s="56" t="str">
        <f t="shared" si="4"/>
        <v>TIDAK LULUS</v>
      </c>
      <c r="K55" s="56" t="str">
        <f t="shared" si="4"/>
        <v>TIDAK LULUS</v>
      </c>
      <c r="L55" s="56" t="str">
        <f t="shared" si="4"/>
        <v>TIDAK LULUS</v>
      </c>
      <c r="M55" s="58"/>
      <c r="N55" s="55">
        <f t="shared" si="5"/>
        <v>0</v>
      </c>
      <c r="O55" s="55"/>
      <c r="P55" s="56"/>
    </row>
    <row r="56" spans="1:16" ht="20.100000000000001" customHeight="1" x14ac:dyDescent="0.25">
      <c r="A56" s="58">
        <v>13</v>
      </c>
      <c r="B56" s="56">
        <f t="shared" si="3"/>
        <v>0</v>
      </c>
      <c r="C56" s="56" t="s">
        <v>174</v>
      </c>
      <c r="D56" s="56" t="str">
        <f t="shared" si="4"/>
        <v>TIDAK LULUS</v>
      </c>
      <c r="E56" s="56" t="str">
        <f t="shared" si="4"/>
        <v>TIDAK LULUS</v>
      </c>
      <c r="F56" s="56" t="str">
        <f t="shared" si="4"/>
        <v>TIDAK LULUS</v>
      </c>
      <c r="G56" s="56" t="str">
        <f t="shared" si="4"/>
        <v>TIDAK LULUS</v>
      </c>
      <c r="H56" s="56" t="str">
        <f t="shared" si="4"/>
        <v>TIDAK LULUS</v>
      </c>
      <c r="I56" s="56" t="str">
        <f t="shared" si="4"/>
        <v>TIDAK LULUS</v>
      </c>
      <c r="J56" s="56" t="str">
        <f t="shared" si="4"/>
        <v>TIDAK LULUS</v>
      </c>
      <c r="K56" s="56" t="str">
        <f t="shared" si="4"/>
        <v>TIDAK LULUS</v>
      </c>
      <c r="L56" s="56" t="str">
        <f t="shared" si="4"/>
        <v>TIDAK LULUS</v>
      </c>
      <c r="M56" s="58"/>
      <c r="N56" s="55">
        <f t="shared" si="5"/>
        <v>0</v>
      </c>
      <c r="O56" s="55"/>
      <c r="P56" s="56"/>
    </row>
    <row r="57" spans="1:16" ht="20.100000000000001" customHeight="1" x14ac:dyDescent="0.25">
      <c r="A57" s="58">
        <v>14</v>
      </c>
      <c r="B57" s="56">
        <f t="shared" si="3"/>
        <v>0</v>
      </c>
      <c r="C57" s="56" t="s">
        <v>174</v>
      </c>
      <c r="D57" s="56" t="str">
        <f t="shared" si="4"/>
        <v>TIDAK LULUS</v>
      </c>
      <c r="E57" s="56" t="str">
        <f t="shared" si="4"/>
        <v>TIDAK LULUS</v>
      </c>
      <c r="F57" s="56" t="str">
        <f t="shared" si="4"/>
        <v>TIDAK LULUS</v>
      </c>
      <c r="G57" s="56" t="str">
        <f t="shared" si="4"/>
        <v>TIDAK LULUS</v>
      </c>
      <c r="H57" s="56" t="str">
        <f t="shared" si="4"/>
        <v>TIDAK LULUS</v>
      </c>
      <c r="I57" s="56" t="str">
        <f t="shared" si="4"/>
        <v>TIDAK LULUS</v>
      </c>
      <c r="J57" s="56" t="str">
        <f t="shared" si="4"/>
        <v>TIDAK LULUS</v>
      </c>
      <c r="K57" s="56" t="str">
        <f t="shared" si="4"/>
        <v>TIDAK LULUS</v>
      </c>
      <c r="L57" s="56" t="str">
        <f t="shared" si="4"/>
        <v>TIDAK LULUS</v>
      </c>
      <c r="M57" s="58"/>
      <c r="N57" s="55">
        <f t="shared" si="5"/>
        <v>0</v>
      </c>
      <c r="O57" s="55"/>
      <c r="P57" s="56"/>
    </row>
    <row r="58" spans="1:16" ht="20.100000000000001" customHeight="1" x14ac:dyDescent="0.25">
      <c r="A58" s="58">
        <v>15</v>
      </c>
      <c r="B58" s="56">
        <f t="shared" si="3"/>
        <v>0</v>
      </c>
      <c r="C58" s="56" t="s">
        <v>174</v>
      </c>
      <c r="D58" s="56" t="str">
        <f t="shared" si="4"/>
        <v>TIDAK LULUS</v>
      </c>
      <c r="E58" s="56" t="str">
        <f t="shared" si="4"/>
        <v>TIDAK LULUS</v>
      </c>
      <c r="F58" s="56" t="str">
        <f t="shared" si="4"/>
        <v>TIDAK LULUS</v>
      </c>
      <c r="G58" s="56" t="str">
        <f t="shared" si="4"/>
        <v>TIDAK LULUS</v>
      </c>
      <c r="H58" s="56" t="str">
        <f t="shared" si="4"/>
        <v>TIDAK LULUS</v>
      </c>
      <c r="I58" s="56" t="str">
        <f t="shared" si="4"/>
        <v>TIDAK LULUS</v>
      </c>
      <c r="J58" s="56" t="str">
        <f t="shared" si="4"/>
        <v>TIDAK LULUS</v>
      </c>
      <c r="K58" s="56" t="str">
        <f t="shared" si="4"/>
        <v>TIDAK LULUS</v>
      </c>
      <c r="L58" s="56" t="str">
        <f t="shared" si="4"/>
        <v>TIDAK LULUS</v>
      </c>
      <c r="M58" s="58"/>
      <c r="N58" s="55">
        <f t="shared" si="5"/>
        <v>0</v>
      </c>
      <c r="O58" s="55"/>
      <c r="P58" s="56"/>
    </row>
    <row r="59" spans="1:16" ht="20.100000000000001" customHeight="1" x14ac:dyDescent="0.25">
      <c r="A59" s="58">
        <v>16</v>
      </c>
      <c r="B59" s="56">
        <f t="shared" si="3"/>
        <v>0</v>
      </c>
      <c r="C59" s="56" t="s">
        <v>174</v>
      </c>
      <c r="D59" s="56" t="str">
        <f t="shared" si="4"/>
        <v>TIDAK LULUS</v>
      </c>
      <c r="E59" s="56" t="str">
        <f t="shared" si="4"/>
        <v>TIDAK LULUS</v>
      </c>
      <c r="F59" s="56" t="str">
        <f t="shared" si="4"/>
        <v>TIDAK LULUS</v>
      </c>
      <c r="G59" s="56" t="str">
        <f t="shared" si="4"/>
        <v>TIDAK LULUS</v>
      </c>
      <c r="H59" s="56" t="str">
        <f t="shared" si="4"/>
        <v>TIDAK LULUS</v>
      </c>
      <c r="I59" s="56" t="str">
        <f t="shared" si="4"/>
        <v>TIDAK LULUS</v>
      </c>
      <c r="J59" s="56" t="str">
        <f t="shared" si="4"/>
        <v>TIDAK LULUS</v>
      </c>
      <c r="K59" s="56" t="str">
        <f t="shared" si="4"/>
        <v>TIDAK LULUS</v>
      </c>
      <c r="L59" s="56" t="str">
        <f t="shared" si="4"/>
        <v>TIDAK LULUS</v>
      </c>
      <c r="M59" s="58"/>
      <c r="N59" s="55">
        <f t="shared" si="5"/>
        <v>0</v>
      </c>
      <c r="O59" s="55"/>
      <c r="P59" s="56"/>
    </row>
    <row r="60" spans="1:16" ht="20.100000000000001" customHeight="1" x14ac:dyDescent="0.25">
      <c r="A60" s="58">
        <v>17</v>
      </c>
      <c r="B60" s="56">
        <f t="shared" si="3"/>
        <v>0</v>
      </c>
      <c r="C60" s="56" t="s">
        <v>174</v>
      </c>
      <c r="D60" s="56" t="str">
        <f t="shared" si="4"/>
        <v>TIDAK LULUS</v>
      </c>
      <c r="E60" s="56" t="str">
        <f t="shared" si="4"/>
        <v>TIDAK LULUS</v>
      </c>
      <c r="F60" s="56" t="str">
        <f t="shared" si="4"/>
        <v>TIDAK LULUS</v>
      </c>
      <c r="G60" s="56" t="str">
        <f t="shared" si="4"/>
        <v>TIDAK LULUS</v>
      </c>
      <c r="H60" s="56" t="str">
        <f t="shared" si="4"/>
        <v>TIDAK LULUS</v>
      </c>
      <c r="I60" s="56" t="str">
        <f t="shared" si="4"/>
        <v>TIDAK LULUS</v>
      </c>
      <c r="J60" s="56" t="str">
        <f t="shared" si="4"/>
        <v>TIDAK LULUS</v>
      </c>
      <c r="K60" s="56" t="str">
        <f t="shared" si="4"/>
        <v>TIDAK LULUS</v>
      </c>
      <c r="L60" s="56" t="str">
        <f t="shared" si="4"/>
        <v>TIDAK LULUS</v>
      </c>
      <c r="M60" s="58"/>
      <c r="N60" s="55">
        <f t="shared" si="5"/>
        <v>0</v>
      </c>
      <c r="O60" s="55"/>
      <c r="P60" s="56"/>
    </row>
    <row r="61" spans="1:16" ht="20.100000000000001" customHeight="1" x14ac:dyDescent="0.25">
      <c r="A61" s="58">
        <v>18</v>
      </c>
      <c r="B61" s="56">
        <f t="shared" si="3"/>
        <v>0</v>
      </c>
      <c r="C61" s="56" t="s">
        <v>174</v>
      </c>
      <c r="D61" s="56" t="str">
        <f t="shared" ref="D61:L64" si="6">IF(D25&gt;=60,"LULUS","TIDAK LULUS")</f>
        <v>TIDAK LULUS</v>
      </c>
      <c r="E61" s="56" t="str">
        <f t="shared" si="6"/>
        <v>TIDAK LULUS</v>
      </c>
      <c r="F61" s="56" t="str">
        <f t="shared" si="6"/>
        <v>TIDAK LULUS</v>
      </c>
      <c r="G61" s="56" t="str">
        <f t="shared" si="6"/>
        <v>TIDAK LULUS</v>
      </c>
      <c r="H61" s="56" t="str">
        <f t="shared" si="6"/>
        <v>TIDAK LULUS</v>
      </c>
      <c r="I61" s="56" t="str">
        <f t="shared" si="6"/>
        <v>TIDAK LULUS</v>
      </c>
      <c r="J61" s="56" t="str">
        <f t="shared" si="6"/>
        <v>TIDAK LULUS</v>
      </c>
      <c r="K61" s="56" t="str">
        <f t="shared" si="6"/>
        <v>TIDAK LULUS</v>
      </c>
      <c r="L61" s="56" t="str">
        <f t="shared" si="6"/>
        <v>TIDAK LULUS</v>
      </c>
      <c r="M61" s="58"/>
      <c r="N61" s="55">
        <f t="shared" si="5"/>
        <v>0</v>
      </c>
      <c r="O61" s="55"/>
      <c r="P61" s="56"/>
    </row>
    <row r="62" spans="1:16" ht="20.100000000000001" customHeight="1" x14ac:dyDescent="0.25">
      <c r="A62" s="58">
        <v>19</v>
      </c>
      <c r="B62" s="56">
        <f t="shared" si="3"/>
        <v>0</v>
      </c>
      <c r="C62" s="56" t="s">
        <v>174</v>
      </c>
      <c r="D62" s="56" t="str">
        <f t="shared" si="6"/>
        <v>TIDAK LULUS</v>
      </c>
      <c r="E62" s="56" t="str">
        <f t="shared" si="6"/>
        <v>TIDAK LULUS</v>
      </c>
      <c r="F62" s="56" t="str">
        <f t="shared" si="6"/>
        <v>TIDAK LULUS</v>
      </c>
      <c r="G62" s="56" t="str">
        <f t="shared" si="6"/>
        <v>TIDAK LULUS</v>
      </c>
      <c r="H62" s="56" t="str">
        <f t="shared" si="6"/>
        <v>TIDAK LULUS</v>
      </c>
      <c r="I62" s="56" t="str">
        <f t="shared" si="6"/>
        <v>TIDAK LULUS</v>
      </c>
      <c r="J62" s="56" t="str">
        <f t="shared" si="6"/>
        <v>TIDAK LULUS</v>
      </c>
      <c r="K62" s="56" t="str">
        <f t="shared" si="6"/>
        <v>TIDAK LULUS</v>
      </c>
      <c r="L62" s="56" t="str">
        <f t="shared" si="6"/>
        <v>TIDAK LULUS</v>
      </c>
      <c r="M62" s="58"/>
      <c r="N62" s="55">
        <f t="shared" si="5"/>
        <v>0</v>
      </c>
      <c r="O62" s="55"/>
      <c r="P62" s="56"/>
    </row>
    <row r="63" spans="1:16" ht="20.100000000000001" customHeight="1" x14ac:dyDescent="0.25">
      <c r="A63" s="58">
        <v>20</v>
      </c>
      <c r="B63" s="56">
        <f t="shared" si="3"/>
        <v>0</v>
      </c>
      <c r="C63" s="56" t="s">
        <v>174</v>
      </c>
      <c r="D63" s="56" t="str">
        <f t="shared" si="6"/>
        <v>TIDAK LULUS</v>
      </c>
      <c r="E63" s="56" t="str">
        <f t="shared" si="6"/>
        <v>TIDAK LULUS</v>
      </c>
      <c r="F63" s="56" t="str">
        <f t="shared" si="6"/>
        <v>TIDAK LULUS</v>
      </c>
      <c r="G63" s="56" t="str">
        <f t="shared" si="6"/>
        <v>TIDAK LULUS</v>
      </c>
      <c r="H63" s="56" t="str">
        <f t="shared" si="6"/>
        <v>TIDAK LULUS</v>
      </c>
      <c r="I63" s="56" t="str">
        <f t="shared" si="6"/>
        <v>TIDAK LULUS</v>
      </c>
      <c r="J63" s="56" t="str">
        <f t="shared" si="6"/>
        <v>TIDAK LULUS</v>
      </c>
      <c r="K63" s="56" t="str">
        <f t="shared" si="6"/>
        <v>TIDAK LULUS</v>
      </c>
      <c r="L63" s="56" t="str">
        <f t="shared" si="6"/>
        <v>TIDAK LULUS</v>
      </c>
      <c r="M63" s="58"/>
      <c r="N63" s="55">
        <f t="shared" si="5"/>
        <v>0</v>
      </c>
      <c r="O63" s="55"/>
      <c r="P63" s="56"/>
    </row>
    <row r="64" spans="1:16" ht="20.100000000000001" customHeight="1" x14ac:dyDescent="0.25">
      <c r="A64" s="58">
        <v>21</v>
      </c>
      <c r="B64" s="56">
        <f t="shared" si="3"/>
        <v>0</v>
      </c>
      <c r="C64" s="56" t="s">
        <v>174</v>
      </c>
      <c r="D64" s="56" t="str">
        <f t="shared" si="6"/>
        <v>TIDAK LULUS</v>
      </c>
      <c r="E64" s="56" t="str">
        <f t="shared" si="6"/>
        <v>TIDAK LULUS</v>
      </c>
      <c r="F64" s="56" t="str">
        <f t="shared" si="6"/>
        <v>TIDAK LULUS</v>
      </c>
      <c r="G64" s="56" t="str">
        <f t="shared" si="6"/>
        <v>TIDAK LULUS</v>
      </c>
      <c r="H64" s="56" t="str">
        <f t="shared" si="6"/>
        <v>TIDAK LULUS</v>
      </c>
      <c r="I64" s="56" t="str">
        <f t="shared" si="6"/>
        <v>TIDAK LULUS</v>
      </c>
      <c r="J64" s="56" t="str">
        <f t="shared" si="6"/>
        <v>TIDAK LULUS</v>
      </c>
      <c r="K64" s="56" t="str">
        <f t="shared" si="6"/>
        <v>TIDAK LULUS</v>
      </c>
      <c r="L64" s="56" t="str">
        <f t="shared" si="6"/>
        <v>TIDAK LULUS</v>
      </c>
      <c r="M64" s="58"/>
      <c r="N64" s="55">
        <f t="shared" si="5"/>
        <v>0</v>
      </c>
      <c r="O64" s="55"/>
      <c r="P64" s="56"/>
    </row>
    <row r="65" spans="1:12" ht="20.100000000000001" customHeight="1" x14ac:dyDescent="0.25">
      <c r="D65" s="60"/>
      <c r="E65" s="60"/>
      <c r="F65" s="60"/>
      <c r="G65" s="60"/>
      <c r="H65" s="60"/>
      <c r="I65" s="60"/>
      <c r="J65" s="60"/>
      <c r="K65" s="60"/>
      <c r="L65" s="60"/>
    </row>
    <row r="66" spans="1:12" ht="20.100000000000001" customHeight="1" x14ac:dyDescent="0.25">
      <c r="A66" s="60"/>
      <c r="B66" s="60" t="s">
        <v>138</v>
      </c>
      <c r="C66" s="60"/>
      <c r="D66" s="60"/>
      <c r="K66" s="59">
        <f>'Data '!H74</f>
        <v>0</v>
      </c>
    </row>
    <row r="67" spans="1:12" ht="20.100000000000001" customHeight="1" x14ac:dyDescent="0.25">
      <c r="A67" s="60"/>
      <c r="B67" s="63"/>
      <c r="C67" s="56" t="s">
        <v>101</v>
      </c>
      <c r="D67" s="60"/>
      <c r="K67" s="60" t="s">
        <v>53</v>
      </c>
    </row>
    <row r="68" spans="1:12" ht="20.100000000000001" customHeight="1" x14ac:dyDescent="0.25">
      <c r="A68" s="60"/>
      <c r="B68" s="64"/>
      <c r="C68" s="56" t="s">
        <v>139</v>
      </c>
      <c r="D68" s="60"/>
      <c r="K68" s="60"/>
    </row>
    <row r="69" spans="1:12" ht="20.100000000000001" customHeight="1" x14ac:dyDescent="0.25">
      <c r="A69" s="60"/>
      <c r="B69" s="60"/>
      <c r="C69" s="60"/>
      <c r="D69" s="60"/>
      <c r="K69" s="60"/>
    </row>
    <row r="70" spans="1:12" ht="20.100000000000001" customHeight="1" x14ac:dyDescent="0.25">
      <c r="A70" s="60"/>
      <c r="B70" s="60"/>
      <c r="C70" s="60"/>
      <c r="D70" s="60"/>
      <c r="K70" s="60"/>
    </row>
    <row r="71" spans="1:12" ht="20.100000000000001" customHeight="1" x14ac:dyDescent="0.25">
      <c r="A71" s="60"/>
      <c r="B71" s="60"/>
      <c r="C71" s="60"/>
      <c r="D71" s="60"/>
      <c r="K71" s="61" t="s">
        <v>96</v>
      </c>
    </row>
  </sheetData>
  <mergeCells count="19">
    <mergeCell ref="A37:P37"/>
    <mergeCell ref="A38:P38"/>
    <mergeCell ref="A41:A43"/>
    <mergeCell ref="B41:B43"/>
    <mergeCell ref="C41:C43"/>
    <mergeCell ref="D41:M41"/>
    <mergeCell ref="N41:N43"/>
    <mergeCell ref="P41:P43"/>
    <mergeCell ref="D42:M42"/>
    <mergeCell ref="A1:P1"/>
    <mergeCell ref="A2:P2"/>
    <mergeCell ref="A5:A7"/>
    <mergeCell ref="B5:B7"/>
    <mergeCell ref="C5:C7"/>
    <mergeCell ref="D5:M5"/>
    <mergeCell ref="N5:N7"/>
    <mergeCell ref="O5:O7"/>
    <mergeCell ref="P5:P7"/>
    <mergeCell ref="D6:M6"/>
  </mergeCells>
  <conditionalFormatting sqref="D8:M28">
    <cfRule type="cellIs" dxfId="0" priority="1" operator="lessThan">
      <formula>5</formula>
    </cfRule>
  </conditionalFormatting>
  <pageMargins left="0.7" right="0.7" top="0.75" bottom="0.75" header="0.3" footer="0.3"/>
  <pageSetup paperSize="10000" scale="29" orientation="landscape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P71"/>
  <sheetViews>
    <sheetView zoomScale="70" zoomScaleNormal="70" workbookViewId="0">
      <selection activeCell="C14" sqref="C14"/>
    </sheetView>
  </sheetViews>
  <sheetFormatPr defaultRowHeight="20.100000000000001" customHeight="1" x14ac:dyDescent="0.25"/>
  <cols>
    <col min="1" max="1" width="4.7109375" style="59" customWidth="1"/>
    <col min="2" max="2" width="23.140625" style="59" customWidth="1"/>
    <col min="3" max="3" width="16.140625" style="59" customWidth="1"/>
    <col min="4" max="4" width="9.85546875" style="59" customWidth="1"/>
    <col min="5" max="5" width="10.42578125" style="59" customWidth="1"/>
    <col min="6" max="6" width="7.42578125" style="59" customWidth="1"/>
    <col min="7" max="7" width="7.140625" style="59" customWidth="1"/>
    <col min="8" max="8" width="11.28515625" style="59" customWidth="1"/>
    <col min="9" max="9" width="12.140625" style="59" customWidth="1"/>
    <col min="10" max="10" width="7.7109375" style="59" customWidth="1"/>
    <col min="11" max="11" width="10.28515625" style="59" customWidth="1"/>
    <col min="12" max="12" width="11.140625" style="59" customWidth="1"/>
    <col min="13" max="13" width="7.7109375" style="59" customWidth="1"/>
    <col min="14" max="15" width="9.140625" style="59"/>
    <col min="16" max="16" width="15.28515625" style="59" customWidth="1"/>
    <col min="17" max="16384" width="9.140625" style="59"/>
  </cols>
  <sheetData>
    <row r="1" spans="1:16" ht="20.100000000000001" customHeight="1" x14ac:dyDescent="0.25">
      <c r="A1" s="138" t="s">
        <v>0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</row>
    <row r="2" spans="1:16" ht="20.100000000000001" customHeight="1" x14ac:dyDescent="0.25">
      <c r="A2" s="138" t="s">
        <v>12</v>
      </c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</row>
    <row r="3" spans="1:16" ht="20.100000000000001" customHeight="1" x14ac:dyDescent="0.25">
      <c r="A3" s="60"/>
      <c r="B3" s="60"/>
      <c r="C3" s="61"/>
      <c r="D3" s="61"/>
      <c r="E3" s="61"/>
      <c r="F3" s="61"/>
      <c r="G3" s="61"/>
      <c r="H3" s="61"/>
      <c r="I3" s="61"/>
      <c r="J3" s="61"/>
      <c r="K3" s="61"/>
      <c r="L3" s="62"/>
      <c r="M3" s="60"/>
      <c r="N3" s="60"/>
      <c r="O3" s="60"/>
      <c r="P3" s="61"/>
    </row>
    <row r="4" spans="1:16" ht="28.5" customHeight="1" x14ac:dyDescent="0.25">
      <c r="A4" s="60">
        <v>1</v>
      </c>
      <c r="B4" s="60">
        <v>2</v>
      </c>
      <c r="C4" s="60">
        <v>3</v>
      </c>
      <c r="D4" s="60">
        <v>4</v>
      </c>
      <c r="E4" s="60">
        <v>5</v>
      </c>
      <c r="F4" s="60">
        <v>6</v>
      </c>
      <c r="G4" s="60">
        <v>7</v>
      </c>
      <c r="H4" s="60">
        <v>8</v>
      </c>
      <c r="I4" s="60">
        <v>9</v>
      </c>
      <c r="J4" s="60">
        <v>10</v>
      </c>
      <c r="K4" s="60">
        <v>11</v>
      </c>
      <c r="L4" s="60">
        <v>12</v>
      </c>
      <c r="M4" s="60">
        <v>13</v>
      </c>
      <c r="N4" s="60"/>
      <c r="O4" s="60"/>
      <c r="P4" s="60"/>
    </row>
    <row r="5" spans="1:16" ht="20.100000000000001" customHeight="1" x14ac:dyDescent="0.25">
      <c r="A5" s="139" t="s">
        <v>1</v>
      </c>
      <c r="B5" s="139" t="s">
        <v>2</v>
      </c>
      <c r="C5" s="139" t="s">
        <v>3</v>
      </c>
      <c r="D5" s="139" t="s">
        <v>52</v>
      </c>
      <c r="E5" s="139"/>
      <c r="F5" s="139"/>
      <c r="G5" s="139"/>
      <c r="H5" s="139"/>
      <c r="I5" s="139"/>
      <c r="J5" s="139"/>
      <c r="K5" s="139"/>
      <c r="L5" s="139"/>
      <c r="M5" s="139"/>
      <c r="N5" s="140" t="s">
        <v>7</v>
      </c>
      <c r="O5" s="172" t="s">
        <v>192</v>
      </c>
      <c r="P5" s="139" t="s">
        <v>8</v>
      </c>
    </row>
    <row r="6" spans="1:16" ht="20.100000000000001" customHeight="1" x14ac:dyDescent="0.25">
      <c r="A6" s="139"/>
      <c r="B6" s="139"/>
      <c r="C6" s="139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40"/>
      <c r="O6" s="173"/>
      <c r="P6" s="139"/>
    </row>
    <row r="7" spans="1:16" ht="20.100000000000001" customHeight="1" x14ac:dyDescent="0.25">
      <c r="A7" s="139"/>
      <c r="B7" s="139"/>
      <c r="C7" s="139"/>
      <c r="D7" s="57" t="s">
        <v>20</v>
      </c>
      <c r="E7" s="57" t="s">
        <v>58</v>
      </c>
      <c r="F7" s="57" t="s">
        <v>131</v>
      </c>
      <c r="G7" s="57" t="s">
        <v>132</v>
      </c>
      <c r="H7" s="57" t="s">
        <v>133</v>
      </c>
      <c r="I7" s="57" t="s">
        <v>135</v>
      </c>
      <c r="J7" s="57" t="s">
        <v>134</v>
      </c>
      <c r="K7" s="57" t="s">
        <v>136</v>
      </c>
      <c r="L7" s="57" t="s">
        <v>137</v>
      </c>
      <c r="M7" s="57"/>
      <c r="N7" s="140"/>
      <c r="O7" s="174"/>
      <c r="P7" s="139"/>
    </row>
    <row r="8" spans="1:16" ht="20.100000000000001" customHeight="1" x14ac:dyDescent="0.25">
      <c r="A8" s="58">
        <v>1</v>
      </c>
      <c r="B8" s="166" t="str">
        <f>VLOOKUP(A8,'Data '!A2:J36,3,0)</f>
        <v>Ahmad Alhabib Ramadhan</v>
      </c>
      <c r="C8" s="166" t="str">
        <f>VLOOKUP(A8,'Data '!A2:J36,2,0)</f>
        <v>Utsmaniyyah III</v>
      </c>
      <c r="D8" s="177">
        <v>7</v>
      </c>
      <c r="E8" s="177">
        <v>10</v>
      </c>
      <c r="F8" s="177">
        <v>7.5</v>
      </c>
      <c r="G8" s="177">
        <v>8.5</v>
      </c>
      <c r="H8" s="177">
        <v>7.5</v>
      </c>
      <c r="I8" s="177">
        <v>7.5</v>
      </c>
      <c r="J8" s="177">
        <v>6.5</v>
      </c>
      <c r="K8" s="177">
        <v>8</v>
      </c>
      <c r="L8" s="177">
        <v>8</v>
      </c>
      <c r="M8" s="178"/>
      <c r="N8" s="179">
        <f>SUM(D8:M8)</f>
        <v>70.5</v>
      </c>
      <c r="O8" s="171">
        <f>RANK(N8,$N$8:$N$28,0)</f>
        <v>2</v>
      </c>
      <c r="P8" s="56"/>
    </row>
    <row r="9" spans="1:16" ht="20.100000000000001" customHeight="1" x14ac:dyDescent="0.25">
      <c r="A9" s="58">
        <v>2</v>
      </c>
      <c r="B9" s="166" t="str">
        <f>VLOOKUP(A9,'Data '!A3:J37,3,0)</f>
        <v>Aulia Zahra El Fikri</v>
      </c>
      <c r="C9" s="166" t="str">
        <f>VLOOKUP(A9,'Data '!A3:J37,2,0)</f>
        <v>Utsmaniyyah III</v>
      </c>
      <c r="D9" s="177">
        <v>8.5</v>
      </c>
      <c r="E9" s="177">
        <v>10</v>
      </c>
      <c r="F9" s="177">
        <v>8</v>
      </c>
      <c r="G9" s="177">
        <v>8</v>
      </c>
      <c r="H9" s="177">
        <v>8</v>
      </c>
      <c r="I9" s="177">
        <v>7.5</v>
      </c>
      <c r="J9" s="177">
        <v>6</v>
      </c>
      <c r="K9" s="177">
        <v>7.5</v>
      </c>
      <c r="L9" s="177">
        <v>8</v>
      </c>
      <c r="M9" s="178"/>
      <c r="N9" s="179">
        <f t="shared" ref="N9:N28" si="0">SUM(D9:M9)</f>
        <v>71.5</v>
      </c>
      <c r="O9" s="171">
        <f t="shared" ref="O9:O28" si="1">RANK(N9,$N$8:$N$28,0)</f>
        <v>1</v>
      </c>
      <c r="P9" s="56"/>
    </row>
    <row r="10" spans="1:16" ht="20.100000000000001" customHeight="1" x14ac:dyDescent="0.25">
      <c r="A10" s="58">
        <v>3</v>
      </c>
      <c r="B10" s="166" t="str">
        <f>VLOOKUP(A10,'Data '!A4:J38,3,0)</f>
        <v>Nur Habibi</v>
      </c>
      <c r="C10" s="166" t="str">
        <f>VLOOKUP(A10,'Data '!A4:J38,2,0)</f>
        <v>Utsmaniyyah III</v>
      </c>
      <c r="D10" s="177">
        <v>5.5</v>
      </c>
      <c r="E10" s="177">
        <v>6.5</v>
      </c>
      <c r="F10" s="177">
        <v>9</v>
      </c>
      <c r="G10" s="177">
        <v>6.5</v>
      </c>
      <c r="H10" s="177">
        <v>5.5</v>
      </c>
      <c r="I10" s="177">
        <v>6.25</v>
      </c>
      <c r="J10" s="177">
        <v>6</v>
      </c>
      <c r="K10" s="177">
        <v>5.5</v>
      </c>
      <c r="L10" s="177">
        <v>8.5</v>
      </c>
      <c r="M10" s="178"/>
      <c r="N10" s="179">
        <f t="shared" si="0"/>
        <v>59.25</v>
      </c>
      <c r="O10" s="171">
        <f t="shared" si="1"/>
        <v>6</v>
      </c>
      <c r="P10" s="56"/>
    </row>
    <row r="11" spans="1:16" ht="20.100000000000001" customHeight="1" x14ac:dyDescent="0.25">
      <c r="A11" s="58">
        <v>4</v>
      </c>
      <c r="B11" s="166" t="str">
        <f>VLOOKUP(A11,'Data '!A5:J39,3,0)</f>
        <v>M. Fatan Azzamy Isma'il</v>
      </c>
      <c r="C11" s="166" t="str">
        <f>VLOOKUP(A11,'Data '!A5:J39,2,0)</f>
        <v>Utsmaniyyah III</v>
      </c>
      <c r="D11" s="177">
        <v>6</v>
      </c>
      <c r="E11" s="177">
        <v>8</v>
      </c>
      <c r="F11" s="177">
        <v>6</v>
      </c>
      <c r="G11" s="177">
        <v>8</v>
      </c>
      <c r="H11" s="177">
        <v>6.5</v>
      </c>
      <c r="I11" s="177">
        <v>7</v>
      </c>
      <c r="J11" s="177">
        <v>6</v>
      </c>
      <c r="K11" s="177">
        <v>8.5</v>
      </c>
      <c r="L11" s="177">
        <v>8</v>
      </c>
      <c r="M11" s="178"/>
      <c r="N11" s="179">
        <f t="shared" si="0"/>
        <v>64</v>
      </c>
      <c r="O11" s="171">
        <f t="shared" si="1"/>
        <v>4</v>
      </c>
      <c r="P11" s="56"/>
    </row>
    <row r="12" spans="1:16" ht="20.100000000000001" customHeight="1" x14ac:dyDescent="0.25">
      <c r="A12" s="58">
        <v>5</v>
      </c>
      <c r="B12" s="166" t="str">
        <f>VLOOKUP(A12,'Data '!A6:J40,3,0)</f>
        <v>M. Mahi Mutawakkil</v>
      </c>
      <c r="C12" s="166" t="str">
        <f>VLOOKUP(A12,'Data '!A6:J40,2,0)</f>
        <v>Utsmaniyyah III</v>
      </c>
      <c r="D12" s="177">
        <v>7</v>
      </c>
      <c r="E12" s="177">
        <v>8</v>
      </c>
      <c r="F12" s="177">
        <v>8.5</v>
      </c>
      <c r="G12" s="177">
        <v>9</v>
      </c>
      <c r="H12" s="177">
        <v>7</v>
      </c>
      <c r="I12" s="177">
        <v>7</v>
      </c>
      <c r="J12" s="177">
        <v>8</v>
      </c>
      <c r="K12" s="177">
        <v>8</v>
      </c>
      <c r="L12" s="177">
        <v>8</v>
      </c>
      <c r="M12" s="178"/>
      <c r="N12" s="179">
        <f t="shared" si="0"/>
        <v>70.5</v>
      </c>
      <c r="O12" s="171">
        <f t="shared" si="1"/>
        <v>2</v>
      </c>
      <c r="P12" s="56"/>
    </row>
    <row r="13" spans="1:16" ht="20.100000000000001" customHeight="1" x14ac:dyDescent="0.25">
      <c r="A13" s="58">
        <v>6</v>
      </c>
      <c r="B13" s="166" t="str">
        <f>VLOOKUP(A13,'Data '!A7:J41,3,0)</f>
        <v>Renoval Faiz Al Ghifari</v>
      </c>
      <c r="C13" s="166" t="str">
        <f>VLOOKUP(A13,'Data '!A7:J41,2,0)</f>
        <v>Utsmaniyyah III</v>
      </c>
      <c r="D13" s="177">
        <v>7.5</v>
      </c>
      <c r="E13" s="177">
        <v>7</v>
      </c>
      <c r="F13" s="177">
        <v>6.5</v>
      </c>
      <c r="G13" s="177">
        <v>6.5</v>
      </c>
      <c r="H13" s="177">
        <v>6.5</v>
      </c>
      <c r="I13" s="177">
        <v>6.5</v>
      </c>
      <c r="J13" s="177">
        <v>7</v>
      </c>
      <c r="K13" s="177">
        <v>6</v>
      </c>
      <c r="L13" s="177">
        <v>9</v>
      </c>
      <c r="M13" s="178"/>
      <c r="N13" s="179">
        <f t="shared" si="0"/>
        <v>62.5</v>
      </c>
      <c r="O13" s="171">
        <f t="shared" si="1"/>
        <v>5</v>
      </c>
      <c r="P13" s="56"/>
    </row>
    <row r="14" spans="1:16" ht="20.100000000000001" customHeight="1" x14ac:dyDescent="0.25">
      <c r="A14" s="58">
        <v>7</v>
      </c>
      <c r="B14" s="166" t="str">
        <f>VLOOKUP(A14,'Data '!A8:J42,3,0)</f>
        <v>Sindi Wulandari</v>
      </c>
      <c r="C14" s="166" t="str">
        <f>VLOOKUP(A14,'Data '!A8:J42,2,0)</f>
        <v>Utsmaniyyah III</v>
      </c>
      <c r="D14" s="177">
        <v>6</v>
      </c>
      <c r="E14" s="177">
        <v>8</v>
      </c>
      <c r="F14" s="177">
        <v>6</v>
      </c>
      <c r="G14" s="177">
        <v>9</v>
      </c>
      <c r="H14" s="177">
        <v>5</v>
      </c>
      <c r="I14" s="177">
        <v>6</v>
      </c>
      <c r="J14" s="177">
        <v>5</v>
      </c>
      <c r="K14" s="177">
        <v>6</v>
      </c>
      <c r="L14" s="177">
        <v>8</v>
      </c>
      <c r="M14" s="178"/>
      <c r="N14" s="179">
        <f t="shared" si="0"/>
        <v>59</v>
      </c>
      <c r="O14" s="171">
        <f t="shared" si="1"/>
        <v>7</v>
      </c>
      <c r="P14" s="56"/>
    </row>
    <row r="15" spans="1:16" ht="20.100000000000001" customHeight="1" x14ac:dyDescent="0.25">
      <c r="A15" s="58">
        <v>8</v>
      </c>
      <c r="B15" s="166">
        <f>VLOOKUP(A15,'Data '!A8:J43,3,0)</f>
        <v>0</v>
      </c>
      <c r="C15" s="166">
        <f>VLOOKUP(A15,'Data '!A8:J43,2,0)</f>
        <v>0</v>
      </c>
      <c r="D15" s="177"/>
      <c r="E15" s="177">
        <f>tauhid!N15</f>
        <v>0</v>
      </c>
      <c r="F15" s="177">
        <f>kitabah!N15</f>
        <v>0</v>
      </c>
      <c r="G15" s="177">
        <f>Wudlu!N15</f>
        <v>0</v>
      </c>
      <c r="H15" s="177">
        <f>'doa harian'!N15</f>
        <v>0</v>
      </c>
      <c r="I15" s="177">
        <f>'Tartil dan Fashohah'!L15</f>
        <v>0</v>
      </c>
      <c r="J15" s="177">
        <f>'Ghoroib '!N15</f>
        <v>0</v>
      </c>
      <c r="K15" s="177">
        <f>'Surat Pendek'!N15</f>
        <v>0</v>
      </c>
      <c r="L15" s="177">
        <f>Fasolatan!N15</f>
        <v>0</v>
      </c>
      <c r="M15" s="178"/>
      <c r="N15" s="171">
        <f t="shared" si="0"/>
        <v>0</v>
      </c>
      <c r="O15" s="171">
        <f t="shared" si="1"/>
        <v>8</v>
      </c>
      <c r="P15" s="56"/>
    </row>
    <row r="16" spans="1:16" ht="20.100000000000001" customHeight="1" x14ac:dyDescent="0.25">
      <c r="A16" s="58">
        <v>9</v>
      </c>
      <c r="B16" s="166">
        <f>VLOOKUP(A16,'Data '!A9:J44,3,0)</f>
        <v>0</v>
      </c>
      <c r="C16" s="166">
        <f>VLOOKUP(A16,'Data '!A9:J44,2,0)</f>
        <v>0</v>
      </c>
      <c r="D16" s="177">
        <f>tajwid!N16</f>
        <v>0</v>
      </c>
      <c r="E16" s="177">
        <f>tauhid!N16</f>
        <v>0</v>
      </c>
      <c r="F16" s="177">
        <f>kitabah!N16</f>
        <v>0</v>
      </c>
      <c r="G16" s="177">
        <f>Wudlu!N16</f>
        <v>0</v>
      </c>
      <c r="H16" s="177">
        <f>'doa harian'!N16</f>
        <v>0</v>
      </c>
      <c r="I16" s="177">
        <f>'Tartil dan Fashohah'!L16</f>
        <v>0</v>
      </c>
      <c r="J16" s="177">
        <f>'Ghoroib '!N16</f>
        <v>0</v>
      </c>
      <c r="K16" s="177">
        <f>'Surat Pendek'!N16</f>
        <v>0</v>
      </c>
      <c r="L16" s="177">
        <f>Fasolatan!N16</f>
        <v>0</v>
      </c>
      <c r="M16" s="178"/>
      <c r="N16" s="171">
        <f t="shared" si="0"/>
        <v>0</v>
      </c>
      <c r="O16" s="171"/>
      <c r="P16" s="56"/>
    </row>
    <row r="17" spans="1:16" ht="20.100000000000001" customHeight="1" x14ac:dyDescent="0.25">
      <c r="A17" s="58">
        <v>10</v>
      </c>
      <c r="B17" s="166">
        <f>VLOOKUP(A17,'Data '!A10:J45,3,0)</f>
        <v>0</v>
      </c>
      <c r="C17" s="166">
        <f>VLOOKUP(A17,'Data '!A10:J45,2,0)</f>
        <v>0</v>
      </c>
      <c r="D17" s="177">
        <f>tajwid!N17</f>
        <v>0</v>
      </c>
      <c r="E17" s="177">
        <f>tauhid!N17</f>
        <v>0</v>
      </c>
      <c r="F17" s="177">
        <f>kitabah!N17</f>
        <v>0</v>
      </c>
      <c r="G17" s="177">
        <f>Wudlu!N17</f>
        <v>0</v>
      </c>
      <c r="H17" s="177">
        <f>'doa harian'!N17</f>
        <v>0</v>
      </c>
      <c r="I17" s="177">
        <f>'Tartil dan Fashohah'!L17</f>
        <v>0</v>
      </c>
      <c r="J17" s="177">
        <f>'Ghoroib '!N17</f>
        <v>0</v>
      </c>
      <c r="K17" s="177">
        <f>'Surat Pendek'!N17</f>
        <v>0</v>
      </c>
      <c r="L17" s="177">
        <f>Fasolatan!N17</f>
        <v>0</v>
      </c>
      <c r="M17" s="178"/>
      <c r="N17" s="171">
        <f t="shared" si="0"/>
        <v>0</v>
      </c>
      <c r="O17" s="171"/>
      <c r="P17" s="56"/>
    </row>
    <row r="18" spans="1:16" ht="20.100000000000001" customHeight="1" x14ac:dyDescent="0.25">
      <c r="A18" s="58">
        <v>11</v>
      </c>
      <c r="B18" s="166">
        <f>VLOOKUP(A18,'Data '!A11:J46,3,0)</f>
        <v>0</v>
      </c>
      <c r="C18" s="166">
        <f>VLOOKUP(A18,'Data '!A11:J46,2,0)</f>
        <v>0</v>
      </c>
      <c r="D18" s="177">
        <f>tajwid!N18</f>
        <v>0</v>
      </c>
      <c r="E18" s="177">
        <f>tauhid!N18</f>
        <v>0</v>
      </c>
      <c r="F18" s="177">
        <f>kitabah!N18</f>
        <v>0</v>
      </c>
      <c r="G18" s="177">
        <f>Wudlu!N18</f>
        <v>0</v>
      </c>
      <c r="H18" s="177">
        <f>'doa harian'!N18</f>
        <v>0</v>
      </c>
      <c r="I18" s="177">
        <f>'Tartil dan Fashohah'!L18</f>
        <v>0</v>
      </c>
      <c r="J18" s="177">
        <f>'Ghoroib '!N18</f>
        <v>0</v>
      </c>
      <c r="K18" s="177">
        <f>'Surat Pendek'!N18</f>
        <v>0</v>
      </c>
      <c r="L18" s="177">
        <f>Fasolatan!N18</f>
        <v>0</v>
      </c>
      <c r="M18" s="178"/>
      <c r="N18" s="171">
        <f t="shared" si="0"/>
        <v>0</v>
      </c>
      <c r="O18" s="171"/>
      <c r="P18" s="56"/>
    </row>
    <row r="19" spans="1:16" ht="20.100000000000001" customHeight="1" x14ac:dyDescent="0.25">
      <c r="A19" s="58">
        <v>12</v>
      </c>
      <c r="B19" s="166">
        <f>VLOOKUP(A19,'Data '!A12:J47,3,0)</f>
        <v>0</v>
      </c>
      <c r="C19" s="166">
        <f>VLOOKUP(A19,'Data '!A12:J47,2,0)</f>
        <v>0</v>
      </c>
      <c r="D19" s="169">
        <f>tajwid!N19</f>
        <v>0</v>
      </c>
      <c r="E19" s="169">
        <f>tauhid!N19</f>
        <v>0</v>
      </c>
      <c r="F19" s="169">
        <f>kitabah!N19</f>
        <v>0</v>
      </c>
      <c r="G19" s="169">
        <f>Wudlu!N19</f>
        <v>0</v>
      </c>
      <c r="H19" s="169">
        <f>'doa harian'!N19</f>
        <v>0</v>
      </c>
      <c r="I19" s="169">
        <f>'Tartil dan Fashohah'!L19</f>
        <v>0</v>
      </c>
      <c r="J19" s="169">
        <f>'Ghoroib '!N19</f>
        <v>0</v>
      </c>
      <c r="K19" s="169">
        <f>'Surat Pendek'!N19</f>
        <v>0</v>
      </c>
      <c r="L19" s="169">
        <f>Fasolatan!N19</f>
        <v>0</v>
      </c>
      <c r="M19" s="170"/>
      <c r="N19" s="171">
        <f t="shared" si="0"/>
        <v>0</v>
      </c>
      <c r="O19" s="171"/>
      <c r="P19" s="56"/>
    </row>
    <row r="20" spans="1:16" ht="20.100000000000001" customHeight="1" x14ac:dyDescent="0.25">
      <c r="A20" s="58">
        <v>13</v>
      </c>
      <c r="B20" s="166">
        <f>VLOOKUP(A20,'Data '!A13:J48,3,0)</f>
        <v>0</v>
      </c>
      <c r="C20" s="166">
        <f>VLOOKUP(A20,'Data '!A13:J48,2,0)</f>
        <v>0</v>
      </c>
      <c r="D20" s="169">
        <f>tajwid!N20</f>
        <v>0</v>
      </c>
      <c r="E20" s="169">
        <f>tauhid!N20</f>
        <v>0</v>
      </c>
      <c r="F20" s="169">
        <f>kitabah!N20</f>
        <v>0</v>
      </c>
      <c r="G20" s="169">
        <f>Wudlu!N20</f>
        <v>0</v>
      </c>
      <c r="H20" s="169">
        <f>'doa harian'!N20</f>
        <v>0</v>
      </c>
      <c r="I20" s="169">
        <f>'Tartil dan Fashohah'!L20</f>
        <v>0</v>
      </c>
      <c r="J20" s="169">
        <f>'Ghoroib '!N20</f>
        <v>0</v>
      </c>
      <c r="K20" s="169">
        <f>'Surat Pendek'!N20</f>
        <v>0</v>
      </c>
      <c r="L20" s="169">
        <f>Fasolatan!N20</f>
        <v>0</v>
      </c>
      <c r="M20" s="170"/>
      <c r="N20" s="171">
        <f t="shared" si="0"/>
        <v>0</v>
      </c>
      <c r="O20" s="171"/>
      <c r="P20" s="56"/>
    </row>
    <row r="21" spans="1:16" ht="20.100000000000001" customHeight="1" x14ac:dyDescent="0.25">
      <c r="A21" s="58">
        <v>14</v>
      </c>
      <c r="B21" s="166">
        <f>VLOOKUP(A21,'Data '!A14:J49,3,0)</f>
        <v>0</v>
      </c>
      <c r="C21" s="166">
        <f>VLOOKUP(A21,'Data '!A14:J49,2,0)</f>
        <v>0</v>
      </c>
      <c r="D21" s="169">
        <f>tajwid!N21</f>
        <v>0</v>
      </c>
      <c r="E21" s="169">
        <f>tauhid!N21</f>
        <v>0</v>
      </c>
      <c r="F21" s="169">
        <f>kitabah!N21</f>
        <v>0</v>
      </c>
      <c r="G21" s="169">
        <f>Wudlu!N21</f>
        <v>0</v>
      </c>
      <c r="H21" s="169">
        <f>'doa harian'!N21</f>
        <v>0</v>
      </c>
      <c r="I21" s="169">
        <f>'Tartil dan Fashohah'!L21</f>
        <v>0</v>
      </c>
      <c r="J21" s="169">
        <f>'Ghoroib '!N21</f>
        <v>0</v>
      </c>
      <c r="K21" s="169">
        <f>'Surat Pendek'!N21</f>
        <v>0</v>
      </c>
      <c r="L21" s="169">
        <f>Fasolatan!N21</f>
        <v>0</v>
      </c>
      <c r="M21" s="170"/>
      <c r="N21" s="171">
        <f t="shared" si="0"/>
        <v>0</v>
      </c>
      <c r="O21" s="171"/>
      <c r="P21" s="56"/>
    </row>
    <row r="22" spans="1:16" ht="20.100000000000001" customHeight="1" x14ac:dyDescent="0.25">
      <c r="A22" s="58">
        <v>15</v>
      </c>
      <c r="B22" s="166">
        <f>VLOOKUP(A22,'Data '!A15:J50,3,0)</f>
        <v>0</v>
      </c>
      <c r="C22" s="166">
        <f>VLOOKUP(A22,'Data '!A15:J50,2,0)</f>
        <v>0</v>
      </c>
      <c r="D22" s="169">
        <f>tajwid!N22</f>
        <v>0</v>
      </c>
      <c r="E22" s="169">
        <f>tauhid!N22</f>
        <v>0</v>
      </c>
      <c r="F22" s="169">
        <f>kitabah!N22</f>
        <v>0</v>
      </c>
      <c r="G22" s="169">
        <f>Wudlu!N22</f>
        <v>0</v>
      </c>
      <c r="H22" s="169">
        <f>'doa harian'!N22</f>
        <v>0</v>
      </c>
      <c r="I22" s="169">
        <f>'Tartil dan Fashohah'!L22</f>
        <v>0</v>
      </c>
      <c r="J22" s="169">
        <f>'Ghoroib '!N22</f>
        <v>0</v>
      </c>
      <c r="K22" s="169">
        <f>'Surat Pendek'!N22</f>
        <v>0</v>
      </c>
      <c r="L22" s="169">
        <f>Fasolatan!N22</f>
        <v>0</v>
      </c>
      <c r="M22" s="170"/>
      <c r="N22" s="171">
        <f t="shared" si="0"/>
        <v>0</v>
      </c>
      <c r="O22" s="171"/>
      <c r="P22" s="56"/>
    </row>
    <row r="23" spans="1:16" ht="20.100000000000001" customHeight="1" x14ac:dyDescent="0.25">
      <c r="A23" s="58">
        <v>16</v>
      </c>
      <c r="B23" s="166">
        <f>VLOOKUP(A23,'Data '!A16:J51,3,0)</f>
        <v>0</v>
      </c>
      <c r="C23" s="166">
        <f>VLOOKUP(A23,'Data '!A16:J51,2,0)</f>
        <v>0</v>
      </c>
      <c r="D23" s="169">
        <f>tajwid!N23</f>
        <v>0</v>
      </c>
      <c r="E23" s="169">
        <f>tauhid!N23</f>
        <v>0</v>
      </c>
      <c r="F23" s="169">
        <f>kitabah!N23</f>
        <v>0</v>
      </c>
      <c r="G23" s="169">
        <f>Wudlu!N23</f>
        <v>0</v>
      </c>
      <c r="H23" s="169">
        <f>'doa harian'!N23</f>
        <v>0</v>
      </c>
      <c r="I23" s="169">
        <f>'Tartil dan Fashohah'!L23</f>
        <v>0</v>
      </c>
      <c r="J23" s="169">
        <f>'Ghoroib '!N23</f>
        <v>0</v>
      </c>
      <c r="K23" s="169">
        <f>'Surat Pendek'!N23</f>
        <v>0</v>
      </c>
      <c r="L23" s="169">
        <f>Fasolatan!N23</f>
        <v>0</v>
      </c>
      <c r="M23" s="170"/>
      <c r="N23" s="171">
        <f t="shared" si="0"/>
        <v>0</v>
      </c>
      <c r="O23" s="171"/>
      <c r="P23" s="56"/>
    </row>
    <row r="24" spans="1:16" ht="20.100000000000001" customHeight="1" x14ac:dyDescent="0.25">
      <c r="A24" s="58">
        <v>17</v>
      </c>
      <c r="B24" s="166">
        <f>VLOOKUP(A24,'Data '!A17:J52,3,0)</f>
        <v>0</v>
      </c>
      <c r="C24" s="166">
        <f>VLOOKUP(A24,'Data '!A17:J52,2,0)</f>
        <v>0</v>
      </c>
      <c r="D24" s="169">
        <f>tajwid!N24</f>
        <v>0</v>
      </c>
      <c r="E24" s="169">
        <f>tauhid!N24</f>
        <v>0</v>
      </c>
      <c r="F24" s="169">
        <f>kitabah!N24</f>
        <v>0</v>
      </c>
      <c r="G24" s="169">
        <f>Wudlu!N24</f>
        <v>0</v>
      </c>
      <c r="H24" s="169">
        <f>'doa harian'!N24</f>
        <v>0</v>
      </c>
      <c r="I24" s="169">
        <f>'Tartil dan Fashohah'!L24</f>
        <v>0</v>
      </c>
      <c r="J24" s="169">
        <f>'Ghoroib '!N24</f>
        <v>0</v>
      </c>
      <c r="K24" s="169">
        <f>'Surat Pendek'!N24</f>
        <v>0</v>
      </c>
      <c r="L24" s="169">
        <f>Fasolatan!N24</f>
        <v>0</v>
      </c>
      <c r="M24" s="170"/>
      <c r="N24" s="171">
        <f t="shared" si="0"/>
        <v>0</v>
      </c>
      <c r="O24" s="171"/>
      <c r="P24" s="56"/>
    </row>
    <row r="25" spans="1:16" ht="20.100000000000001" customHeight="1" x14ac:dyDescent="0.25">
      <c r="A25" s="58">
        <v>18</v>
      </c>
      <c r="B25" s="166">
        <f>VLOOKUP(A25,'Data '!A18:J53,3,0)</f>
        <v>0</v>
      </c>
      <c r="C25" s="166">
        <f>VLOOKUP(A25,'Data '!A18:J53,2,0)</f>
        <v>0</v>
      </c>
      <c r="D25" s="169">
        <f>tajwid!N25</f>
        <v>0</v>
      </c>
      <c r="E25" s="169">
        <f>tauhid!N25</f>
        <v>0</v>
      </c>
      <c r="F25" s="169">
        <f>kitabah!N25</f>
        <v>0</v>
      </c>
      <c r="G25" s="169">
        <f>Wudlu!N25</f>
        <v>0</v>
      </c>
      <c r="H25" s="169">
        <f>'doa harian'!N25</f>
        <v>0</v>
      </c>
      <c r="I25" s="169">
        <f>'Tartil dan Fashohah'!L25</f>
        <v>0</v>
      </c>
      <c r="J25" s="169">
        <f>'Ghoroib '!N25</f>
        <v>0</v>
      </c>
      <c r="K25" s="169">
        <f>'Surat Pendek'!N25</f>
        <v>0</v>
      </c>
      <c r="L25" s="169">
        <f>Fasolatan!N25</f>
        <v>0</v>
      </c>
      <c r="M25" s="170"/>
      <c r="N25" s="171">
        <f t="shared" si="0"/>
        <v>0</v>
      </c>
      <c r="O25" s="171"/>
      <c r="P25" s="56"/>
    </row>
    <row r="26" spans="1:16" ht="20.100000000000001" customHeight="1" x14ac:dyDescent="0.25">
      <c r="A26" s="58">
        <v>19</v>
      </c>
      <c r="B26" s="166">
        <f>VLOOKUP(A26,'Data '!A19:J54,3,0)</f>
        <v>0</v>
      </c>
      <c r="C26" s="166">
        <f>VLOOKUP(A26,'Data '!A19:J54,2,0)</f>
        <v>0</v>
      </c>
      <c r="D26" s="169">
        <f>tajwid!N26</f>
        <v>0</v>
      </c>
      <c r="E26" s="169">
        <f>tauhid!N26</f>
        <v>0</v>
      </c>
      <c r="F26" s="169">
        <f>kitabah!N26</f>
        <v>0</v>
      </c>
      <c r="G26" s="169">
        <f>Wudlu!N26</f>
        <v>0</v>
      </c>
      <c r="H26" s="169">
        <f>'doa harian'!N26</f>
        <v>0</v>
      </c>
      <c r="I26" s="169">
        <f>'Tartil dan Fashohah'!L26</f>
        <v>0</v>
      </c>
      <c r="J26" s="169">
        <f>'Ghoroib '!N26</f>
        <v>0</v>
      </c>
      <c r="K26" s="169">
        <f>'Surat Pendek'!N26</f>
        <v>0</v>
      </c>
      <c r="L26" s="169">
        <f>Fasolatan!N26</f>
        <v>0</v>
      </c>
      <c r="M26" s="170"/>
      <c r="N26" s="171">
        <f t="shared" si="0"/>
        <v>0</v>
      </c>
      <c r="O26" s="171"/>
      <c r="P26" s="56"/>
    </row>
    <row r="27" spans="1:16" ht="20.100000000000001" customHeight="1" x14ac:dyDescent="0.25">
      <c r="A27" s="58">
        <v>20</v>
      </c>
      <c r="B27" s="166">
        <f>VLOOKUP(A27,'Data '!A20:J55,3,0)</f>
        <v>0</v>
      </c>
      <c r="C27" s="166">
        <f>VLOOKUP(A27,'Data '!A20:J55,2,0)</f>
        <v>0</v>
      </c>
      <c r="D27" s="169">
        <f>tajwid!N27</f>
        <v>0</v>
      </c>
      <c r="E27" s="169">
        <f>tauhid!N27</f>
        <v>0</v>
      </c>
      <c r="F27" s="169">
        <f>kitabah!N27</f>
        <v>0</v>
      </c>
      <c r="G27" s="169">
        <f>Wudlu!N27</f>
        <v>0</v>
      </c>
      <c r="H27" s="169">
        <f>'doa harian'!N27</f>
        <v>0</v>
      </c>
      <c r="I27" s="169">
        <f>'Tartil dan Fashohah'!L27</f>
        <v>0</v>
      </c>
      <c r="J27" s="169">
        <f>'Ghoroib '!N27</f>
        <v>0</v>
      </c>
      <c r="K27" s="169">
        <f>'Surat Pendek'!N27</f>
        <v>0</v>
      </c>
      <c r="L27" s="169">
        <f>Fasolatan!N27</f>
        <v>0</v>
      </c>
      <c r="M27" s="170"/>
      <c r="N27" s="171">
        <f t="shared" si="0"/>
        <v>0</v>
      </c>
      <c r="O27" s="171"/>
      <c r="P27" s="56"/>
    </row>
    <row r="28" spans="1:16" ht="20.100000000000001" customHeight="1" x14ac:dyDescent="0.25">
      <c r="A28" s="58">
        <v>21</v>
      </c>
      <c r="B28" s="166">
        <f>VLOOKUP(A28,'Data '!A21:J56,3,0)</f>
        <v>0</v>
      </c>
      <c r="C28" s="166">
        <f>VLOOKUP(A28,'Data '!A21:J56,2,0)</f>
        <v>0</v>
      </c>
      <c r="D28" s="169">
        <f>tajwid!N28</f>
        <v>0</v>
      </c>
      <c r="E28" s="169">
        <f>tauhid!N28</f>
        <v>0</v>
      </c>
      <c r="F28" s="169">
        <f>kitabah!N28</f>
        <v>0</v>
      </c>
      <c r="G28" s="169">
        <f>Wudlu!N28</f>
        <v>0</v>
      </c>
      <c r="H28" s="169">
        <f>'doa harian'!N28</f>
        <v>0</v>
      </c>
      <c r="I28" s="169">
        <f>'Tartil dan Fashohah'!L28</f>
        <v>0</v>
      </c>
      <c r="J28" s="169">
        <f>'Ghoroib '!N28</f>
        <v>0</v>
      </c>
      <c r="K28" s="169">
        <f>'Surat Pendek'!N28</f>
        <v>0</v>
      </c>
      <c r="L28" s="169">
        <f>Fasolatan!N28</f>
        <v>0</v>
      </c>
      <c r="M28" s="170"/>
      <c r="N28" s="171">
        <f t="shared" si="0"/>
        <v>0</v>
      </c>
      <c r="O28" s="171"/>
      <c r="P28" s="56"/>
    </row>
    <row r="29" spans="1:16" ht="20.100000000000001" customHeight="1" x14ac:dyDescent="0.25">
      <c r="D29" s="60"/>
      <c r="E29" s="60"/>
      <c r="F29" s="60"/>
      <c r="G29" s="60"/>
      <c r="H29" s="60"/>
      <c r="I29" s="60"/>
      <c r="J29" s="60"/>
      <c r="K29" s="60"/>
      <c r="L29" s="60"/>
    </row>
    <row r="30" spans="1:16" ht="20.100000000000001" customHeight="1" x14ac:dyDescent="0.25">
      <c r="A30" s="60"/>
      <c r="B30" s="60" t="s">
        <v>138</v>
      </c>
      <c r="C30" s="60"/>
      <c r="D30" s="60"/>
      <c r="K30" s="59" t="str">
        <f>'Data '!H38</f>
        <v>Tambak Jaya,                   September 2025</v>
      </c>
    </row>
    <row r="31" spans="1:16" ht="20.100000000000001" customHeight="1" x14ac:dyDescent="0.25">
      <c r="A31" s="60"/>
      <c r="B31" s="63"/>
      <c r="C31" s="56" t="s">
        <v>101</v>
      </c>
      <c r="D31" s="60"/>
      <c r="K31" s="60" t="s">
        <v>53</v>
      </c>
    </row>
    <row r="32" spans="1:16" ht="20.100000000000001" customHeight="1" x14ac:dyDescent="0.25">
      <c r="A32" s="60"/>
      <c r="B32" s="64"/>
      <c r="C32" s="56" t="s">
        <v>139</v>
      </c>
      <c r="D32" s="60"/>
      <c r="K32" s="60"/>
    </row>
    <row r="33" spans="1:16" ht="20.100000000000001" customHeight="1" x14ac:dyDescent="0.25">
      <c r="A33" s="60"/>
      <c r="B33" s="60"/>
      <c r="C33" s="60"/>
      <c r="D33" s="60"/>
      <c r="K33" s="60"/>
    </row>
    <row r="34" spans="1:16" ht="20.100000000000001" customHeight="1" x14ac:dyDescent="0.25">
      <c r="A34" s="60"/>
      <c r="B34" s="60"/>
      <c r="C34" s="60"/>
      <c r="D34" s="60"/>
      <c r="K34" s="60"/>
    </row>
    <row r="35" spans="1:16" ht="20.100000000000001" customHeight="1" x14ac:dyDescent="0.25">
      <c r="A35" s="60"/>
      <c r="B35" s="60"/>
      <c r="C35" s="60"/>
      <c r="D35" s="60"/>
      <c r="K35" s="61" t="s">
        <v>96</v>
      </c>
    </row>
    <row r="36" spans="1:16" ht="20.100000000000001" customHeight="1" x14ac:dyDescent="0.25">
      <c r="A36" s="60"/>
      <c r="B36" s="60"/>
      <c r="C36" s="60"/>
      <c r="D36" s="60"/>
    </row>
    <row r="37" spans="1:16" ht="20.100000000000001" customHeight="1" x14ac:dyDescent="0.25">
      <c r="A37" s="138" t="s">
        <v>0</v>
      </c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</row>
    <row r="38" spans="1:16" ht="20.100000000000001" customHeight="1" x14ac:dyDescent="0.25">
      <c r="A38" s="138" t="s">
        <v>12</v>
      </c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</row>
    <row r="39" spans="1:16" ht="20.100000000000001" customHeight="1" x14ac:dyDescent="0.25">
      <c r="A39" s="60"/>
      <c r="B39" s="60"/>
      <c r="C39" s="61"/>
      <c r="D39" s="61"/>
      <c r="E39" s="61"/>
      <c r="F39" s="61"/>
      <c r="G39" s="61"/>
      <c r="H39" s="61"/>
      <c r="I39" s="61"/>
      <c r="J39" s="61"/>
      <c r="K39" s="61"/>
      <c r="L39" s="62"/>
      <c r="M39" s="60"/>
      <c r="N39" s="60"/>
      <c r="O39" s="60"/>
      <c r="P39" s="61"/>
    </row>
    <row r="40" spans="1:16" ht="20.100000000000001" customHeight="1" x14ac:dyDescent="0.25">
      <c r="A40" s="60"/>
      <c r="B40" s="60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</row>
    <row r="41" spans="1:16" ht="20.100000000000001" customHeight="1" x14ac:dyDescent="0.25">
      <c r="A41" s="139" t="s">
        <v>1</v>
      </c>
      <c r="B41" s="139" t="s">
        <v>2</v>
      </c>
      <c r="C41" s="139" t="s">
        <v>3</v>
      </c>
      <c r="D41" s="139" t="s">
        <v>52</v>
      </c>
      <c r="E41" s="139"/>
      <c r="F41" s="139"/>
      <c r="G41" s="139"/>
      <c r="H41" s="139"/>
      <c r="I41" s="139"/>
      <c r="J41" s="139"/>
      <c r="K41" s="139"/>
      <c r="L41" s="139"/>
      <c r="M41" s="139"/>
      <c r="N41" s="140" t="s">
        <v>7</v>
      </c>
      <c r="O41" s="100"/>
      <c r="P41" s="139" t="s">
        <v>8</v>
      </c>
    </row>
    <row r="42" spans="1:16" ht="20.100000000000001" customHeight="1" x14ac:dyDescent="0.25">
      <c r="A42" s="139"/>
      <c r="B42" s="139"/>
      <c r="C42" s="139"/>
      <c r="D42" s="139"/>
      <c r="E42" s="139"/>
      <c r="F42" s="139"/>
      <c r="G42" s="139"/>
      <c r="H42" s="139"/>
      <c r="I42" s="139"/>
      <c r="J42" s="139"/>
      <c r="K42" s="139"/>
      <c r="L42" s="139"/>
      <c r="M42" s="139"/>
      <c r="N42" s="140"/>
      <c r="O42" s="100"/>
      <c r="P42" s="139"/>
    </row>
    <row r="43" spans="1:16" ht="20.100000000000001" customHeight="1" x14ac:dyDescent="0.25">
      <c r="A43" s="139"/>
      <c r="B43" s="139"/>
      <c r="C43" s="139"/>
      <c r="D43" s="57" t="s">
        <v>20</v>
      </c>
      <c r="E43" s="57" t="s">
        <v>58</v>
      </c>
      <c r="F43" s="57" t="s">
        <v>131</v>
      </c>
      <c r="G43" s="57" t="s">
        <v>132</v>
      </c>
      <c r="H43" s="57" t="s">
        <v>133</v>
      </c>
      <c r="I43" s="57" t="s">
        <v>135</v>
      </c>
      <c r="J43" s="57" t="s">
        <v>134</v>
      </c>
      <c r="K43" s="57" t="s">
        <v>136</v>
      </c>
      <c r="L43" s="57" t="s">
        <v>137</v>
      </c>
      <c r="M43" s="57"/>
      <c r="N43" s="140"/>
      <c r="O43" s="100"/>
      <c r="P43" s="139"/>
    </row>
    <row r="44" spans="1:16" ht="20.100000000000001" customHeight="1" x14ac:dyDescent="0.25">
      <c r="A44" s="58">
        <v>1</v>
      </c>
      <c r="B44" s="56" t="str">
        <f>B8</f>
        <v>Ahmad Alhabib Ramadhan</v>
      </c>
      <c r="C44" s="56" t="s">
        <v>174</v>
      </c>
      <c r="D44" s="56" t="str">
        <f>IF(D8&gt;=60,"LULUS","TIDAK LULUS")</f>
        <v>TIDAK LULUS</v>
      </c>
      <c r="E44" s="56" t="str">
        <f t="shared" ref="E44:L44" si="2">IF(E8&gt;=60,"LULUS","TIDAK LULUS")</f>
        <v>TIDAK LULUS</v>
      </c>
      <c r="F44" s="56" t="str">
        <f t="shared" si="2"/>
        <v>TIDAK LULUS</v>
      </c>
      <c r="G44" s="56" t="str">
        <f t="shared" si="2"/>
        <v>TIDAK LULUS</v>
      </c>
      <c r="H44" s="56" t="str">
        <f t="shared" si="2"/>
        <v>TIDAK LULUS</v>
      </c>
      <c r="I44" s="56" t="str">
        <f t="shared" si="2"/>
        <v>TIDAK LULUS</v>
      </c>
      <c r="J44" s="56" t="str">
        <f t="shared" si="2"/>
        <v>TIDAK LULUS</v>
      </c>
      <c r="K44" s="56" t="str">
        <f t="shared" si="2"/>
        <v>TIDAK LULUS</v>
      </c>
      <c r="L44" s="56" t="str">
        <f t="shared" si="2"/>
        <v>TIDAK LULUS</v>
      </c>
      <c r="M44" s="58"/>
      <c r="N44" s="55">
        <f>SUM(D44:M44)</f>
        <v>0</v>
      </c>
      <c r="O44" s="55"/>
      <c r="P44" s="56"/>
    </row>
    <row r="45" spans="1:16" ht="20.100000000000001" customHeight="1" x14ac:dyDescent="0.25">
      <c r="A45" s="58">
        <v>2</v>
      </c>
      <c r="B45" s="56" t="str">
        <f t="shared" ref="B45" si="3">B9</f>
        <v>Aulia Zahra El Fikri</v>
      </c>
      <c r="C45" s="56" t="s">
        <v>174</v>
      </c>
      <c r="D45" s="56" t="str">
        <f t="shared" ref="D45:L45" si="4">IF(D9&gt;=60,"LULUS","TIDAK LULUS")</f>
        <v>TIDAK LULUS</v>
      </c>
      <c r="E45" s="56" t="str">
        <f t="shared" si="4"/>
        <v>TIDAK LULUS</v>
      </c>
      <c r="F45" s="56" t="str">
        <f t="shared" si="4"/>
        <v>TIDAK LULUS</v>
      </c>
      <c r="G45" s="56" t="str">
        <f t="shared" si="4"/>
        <v>TIDAK LULUS</v>
      </c>
      <c r="H45" s="56" t="str">
        <f t="shared" si="4"/>
        <v>TIDAK LULUS</v>
      </c>
      <c r="I45" s="56" t="str">
        <f t="shared" si="4"/>
        <v>TIDAK LULUS</v>
      </c>
      <c r="J45" s="56" t="str">
        <f t="shared" si="4"/>
        <v>TIDAK LULUS</v>
      </c>
      <c r="K45" s="56" t="str">
        <f t="shared" si="4"/>
        <v>TIDAK LULUS</v>
      </c>
      <c r="L45" s="56" t="str">
        <f t="shared" si="4"/>
        <v>TIDAK LULUS</v>
      </c>
      <c r="M45" s="58"/>
      <c r="N45" s="55">
        <f>SUM(D45:M45)</f>
        <v>0</v>
      </c>
      <c r="O45" s="55"/>
      <c r="P45" s="56"/>
    </row>
    <row r="46" spans="1:16" ht="20.100000000000001" customHeight="1" x14ac:dyDescent="0.25">
      <c r="A46" s="58">
        <v>3</v>
      </c>
      <c r="B46" s="56" t="str">
        <f t="shared" ref="B46" si="5">B10</f>
        <v>Nur Habibi</v>
      </c>
      <c r="C46" s="56" t="s">
        <v>174</v>
      </c>
      <c r="D46" s="56" t="str">
        <f t="shared" ref="D46:L46" si="6">IF(D10&gt;=60,"LULUS","TIDAK LULUS")</f>
        <v>TIDAK LULUS</v>
      </c>
      <c r="E46" s="56" t="str">
        <f t="shared" si="6"/>
        <v>TIDAK LULUS</v>
      </c>
      <c r="F46" s="56" t="str">
        <f t="shared" si="6"/>
        <v>TIDAK LULUS</v>
      </c>
      <c r="G46" s="56" t="str">
        <f t="shared" si="6"/>
        <v>TIDAK LULUS</v>
      </c>
      <c r="H46" s="56" t="str">
        <f t="shared" si="6"/>
        <v>TIDAK LULUS</v>
      </c>
      <c r="I46" s="56" t="str">
        <f t="shared" si="6"/>
        <v>TIDAK LULUS</v>
      </c>
      <c r="J46" s="56" t="str">
        <f t="shared" si="6"/>
        <v>TIDAK LULUS</v>
      </c>
      <c r="K46" s="56" t="str">
        <f t="shared" si="6"/>
        <v>TIDAK LULUS</v>
      </c>
      <c r="L46" s="56" t="str">
        <f t="shared" si="6"/>
        <v>TIDAK LULUS</v>
      </c>
      <c r="M46" s="58"/>
      <c r="N46" s="55">
        <f t="shared" ref="N46:N64" si="7">SUM(D46:M46)</f>
        <v>0</v>
      </c>
      <c r="O46" s="55"/>
      <c r="P46" s="56"/>
    </row>
    <row r="47" spans="1:16" ht="20.100000000000001" customHeight="1" x14ac:dyDescent="0.25">
      <c r="A47" s="58">
        <v>4</v>
      </c>
      <c r="B47" s="56" t="str">
        <f t="shared" ref="B47" si="8">B11</f>
        <v>M. Fatan Azzamy Isma'il</v>
      </c>
      <c r="C47" s="56" t="s">
        <v>174</v>
      </c>
      <c r="D47" s="56" t="str">
        <f t="shared" ref="D47:L47" si="9">IF(D11&gt;=60,"LULUS","TIDAK LULUS")</f>
        <v>TIDAK LULUS</v>
      </c>
      <c r="E47" s="56" t="str">
        <f t="shared" si="9"/>
        <v>TIDAK LULUS</v>
      </c>
      <c r="F47" s="56" t="str">
        <f t="shared" si="9"/>
        <v>TIDAK LULUS</v>
      </c>
      <c r="G47" s="56" t="str">
        <f t="shared" si="9"/>
        <v>TIDAK LULUS</v>
      </c>
      <c r="H47" s="56" t="str">
        <f t="shared" si="9"/>
        <v>TIDAK LULUS</v>
      </c>
      <c r="I47" s="56" t="str">
        <f t="shared" si="9"/>
        <v>TIDAK LULUS</v>
      </c>
      <c r="J47" s="56" t="str">
        <f t="shared" si="9"/>
        <v>TIDAK LULUS</v>
      </c>
      <c r="K47" s="56" t="str">
        <f t="shared" si="9"/>
        <v>TIDAK LULUS</v>
      </c>
      <c r="L47" s="56" t="str">
        <f t="shared" si="9"/>
        <v>TIDAK LULUS</v>
      </c>
      <c r="M47" s="58"/>
      <c r="N47" s="55">
        <f t="shared" si="7"/>
        <v>0</v>
      </c>
      <c r="O47" s="55"/>
      <c r="P47" s="56"/>
    </row>
    <row r="48" spans="1:16" ht="20.100000000000001" customHeight="1" x14ac:dyDescent="0.25">
      <c r="A48" s="58">
        <v>5</v>
      </c>
      <c r="B48" s="56" t="str">
        <f t="shared" ref="B48" si="10">B12</f>
        <v>M. Mahi Mutawakkil</v>
      </c>
      <c r="C48" s="56" t="s">
        <v>174</v>
      </c>
      <c r="D48" s="56" t="str">
        <f t="shared" ref="D48:L48" si="11">IF(D12&gt;=60,"LULUS","TIDAK LULUS")</f>
        <v>TIDAK LULUS</v>
      </c>
      <c r="E48" s="56" t="str">
        <f t="shared" si="11"/>
        <v>TIDAK LULUS</v>
      </c>
      <c r="F48" s="56" t="str">
        <f t="shared" si="11"/>
        <v>TIDAK LULUS</v>
      </c>
      <c r="G48" s="56" t="str">
        <f t="shared" si="11"/>
        <v>TIDAK LULUS</v>
      </c>
      <c r="H48" s="56" t="str">
        <f t="shared" si="11"/>
        <v>TIDAK LULUS</v>
      </c>
      <c r="I48" s="56" t="str">
        <f t="shared" si="11"/>
        <v>TIDAK LULUS</v>
      </c>
      <c r="J48" s="56" t="str">
        <f t="shared" si="11"/>
        <v>TIDAK LULUS</v>
      </c>
      <c r="K48" s="56" t="str">
        <f t="shared" si="11"/>
        <v>TIDAK LULUS</v>
      </c>
      <c r="L48" s="56" t="str">
        <f t="shared" si="11"/>
        <v>TIDAK LULUS</v>
      </c>
      <c r="M48" s="58"/>
      <c r="N48" s="55">
        <f t="shared" si="7"/>
        <v>0</v>
      </c>
      <c r="O48" s="55"/>
      <c r="P48" s="56"/>
    </row>
    <row r="49" spans="1:16" ht="20.100000000000001" customHeight="1" x14ac:dyDescent="0.25">
      <c r="A49" s="58">
        <v>6</v>
      </c>
      <c r="B49" s="56" t="str">
        <f t="shared" ref="B49" si="12">B13</f>
        <v>Renoval Faiz Al Ghifari</v>
      </c>
      <c r="C49" s="56" t="s">
        <v>174</v>
      </c>
      <c r="D49" s="56" t="str">
        <f t="shared" ref="D49:L49" si="13">IF(D13&gt;=60,"LULUS","TIDAK LULUS")</f>
        <v>TIDAK LULUS</v>
      </c>
      <c r="E49" s="56" t="str">
        <f t="shared" si="13"/>
        <v>TIDAK LULUS</v>
      </c>
      <c r="F49" s="56" t="str">
        <f t="shared" si="13"/>
        <v>TIDAK LULUS</v>
      </c>
      <c r="G49" s="56" t="str">
        <f t="shared" si="13"/>
        <v>TIDAK LULUS</v>
      </c>
      <c r="H49" s="56" t="str">
        <f t="shared" si="13"/>
        <v>TIDAK LULUS</v>
      </c>
      <c r="I49" s="56" t="str">
        <f t="shared" si="13"/>
        <v>TIDAK LULUS</v>
      </c>
      <c r="J49" s="56" t="str">
        <f t="shared" si="13"/>
        <v>TIDAK LULUS</v>
      </c>
      <c r="K49" s="56" t="str">
        <f t="shared" si="13"/>
        <v>TIDAK LULUS</v>
      </c>
      <c r="L49" s="56" t="str">
        <f t="shared" si="13"/>
        <v>TIDAK LULUS</v>
      </c>
      <c r="M49" s="58"/>
      <c r="N49" s="55">
        <f t="shared" si="7"/>
        <v>0</v>
      </c>
      <c r="O49" s="55"/>
      <c r="P49" s="56"/>
    </row>
    <row r="50" spans="1:16" ht="20.100000000000001" customHeight="1" x14ac:dyDescent="0.25">
      <c r="A50" s="58">
        <v>7</v>
      </c>
      <c r="B50" s="56" t="str">
        <f t="shared" ref="B50" si="14">B14</f>
        <v>Sindi Wulandari</v>
      </c>
      <c r="C50" s="56" t="s">
        <v>174</v>
      </c>
      <c r="D50" s="56" t="str">
        <f t="shared" ref="D50:L50" si="15">IF(D14&gt;=60,"LULUS","TIDAK LULUS")</f>
        <v>TIDAK LULUS</v>
      </c>
      <c r="E50" s="56" t="str">
        <f t="shared" si="15"/>
        <v>TIDAK LULUS</v>
      </c>
      <c r="F50" s="56" t="str">
        <f t="shared" si="15"/>
        <v>TIDAK LULUS</v>
      </c>
      <c r="G50" s="56" t="str">
        <f t="shared" si="15"/>
        <v>TIDAK LULUS</v>
      </c>
      <c r="H50" s="56" t="str">
        <f t="shared" si="15"/>
        <v>TIDAK LULUS</v>
      </c>
      <c r="I50" s="56" t="str">
        <f t="shared" si="15"/>
        <v>TIDAK LULUS</v>
      </c>
      <c r="J50" s="56" t="str">
        <f t="shared" si="15"/>
        <v>TIDAK LULUS</v>
      </c>
      <c r="K50" s="56" t="str">
        <f t="shared" si="15"/>
        <v>TIDAK LULUS</v>
      </c>
      <c r="L50" s="56" t="str">
        <f t="shared" si="15"/>
        <v>TIDAK LULUS</v>
      </c>
      <c r="M50" s="58"/>
      <c r="N50" s="55">
        <f t="shared" si="7"/>
        <v>0</v>
      </c>
      <c r="O50" s="55"/>
      <c r="P50" s="56"/>
    </row>
    <row r="51" spans="1:16" ht="20.100000000000001" customHeight="1" x14ac:dyDescent="0.25">
      <c r="A51" s="58">
        <v>8</v>
      </c>
      <c r="B51" s="56">
        <f t="shared" ref="B51" si="16">B15</f>
        <v>0</v>
      </c>
      <c r="C51" s="56" t="s">
        <v>174</v>
      </c>
      <c r="D51" s="56" t="str">
        <f t="shared" ref="D51:L51" si="17">IF(D15&gt;=60,"LULUS","TIDAK LULUS")</f>
        <v>TIDAK LULUS</v>
      </c>
      <c r="E51" s="56" t="str">
        <f t="shared" si="17"/>
        <v>TIDAK LULUS</v>
      </c>
      <c r="F51" s="56" t="str">
        <f t="shared" si="17"/>
        <v>TIDAK LULUS</v>
      </c>
      <c r="G51" s="56" t="str">
        <f t="shared" si="17"/>
        <v>TIDAK LULUS</v>
      </c>
      <c r="H51" s="56" t="str">
        <f t="shared" si="17"/>
        <v>TIDAK LULUS</v>
      </c>
      <c r="I51" s="56" t="str">
        <f t="shared" si="17"/>
        <v>TIDAK LULUS</v>
      </c>
      <c r="J51" s="56" t="str">
        <f t="shared" si="17"/>
        <v>TIDAK LULUS</v>
      </c>
      <c r="K51" s="56" t="str">
        <f t="shared" si="17"/>
        <v>TIDAK LULUS</v>
      </c>
      <c r="L51" s="56" t="str">
        <f t="shared" si="17"/>
        <v>TIDAK LULUS</v>
      </c>
      <c r="M51" s="58"/>
      <c r="N51" s="55">
        <f t="shared" si="7"/>
        <v>0</v>
      </c>
      <c r="O51" s="55"/>
      <c r="P51" s="56"/>
    </row>
    <row r="52" spans="1:16" ht="20.100000000000001" customHeight="1" x14ac:dyDescent="0.25">
      <c r="A52" s="58">
        <v>9</v>
      </c>
      <c r="B52" s="56">
        <f t="shared" ref="B52" si="18">B16</f>
        <v>0</v>
      </c>
      <c r="C52" s="56" t="s">
        <v>174</v>
      </c>
      <c r="D52" s="56" t="str">
        <f t="shared" ref="D52:L52" si="19">IF(D16&gt;=60,"LULUS","TIDAK LULUS")</f>
        <v>TIDAK LULUS</v>
      </c>
      <c r="E52" s="56" t="str">
        <f t="shared" si="19"/>
        <v>TIDAK LULUS</v>
      </c>
      <c r="F52" s="56" t="str">
        <f t="shared" si="19"/>
        <v>TIDAK LULUS</v>
      </c>
      <c r="G52" s="56" t="str">
        <f t="shared" si="19"/>
        <v>TIDAK LULUS</v>
      </c>
      <c r="H52" s="56" t="str">
        <f t="shared" si="19"/>
        <v>TIDAK LULUS</v>
      </c>
      <c r="I52" s="56" t="str">
        <f t="shared" si="19"/>
        <v>TIDAK LULUS</v>
      </c>
      <c r="J52" s="56" t="str">
        <f t="shared" si="19"/>
        <v>TIDAK LULUS</v>
      </c>
      <c r="K52" s="56" t="str">
        <f t="shared" si="19"/>
        <v>TIDAK LULUS</v>
      </c>
      <c r="L52" s="56" t="str">
        <f t="shared" si="19"/>
        <v>TIDAK LULUS</v>
      </c>
      <c r="M52" s="58"/>
      <c r="N52" s="55">
        <f t="shared" si="7"/>
        <v>0</v>
      </c>
      <c r="O52" s="55"/>
      <c r="P52" s="56"/>
    </row>
    <row r="53" spans="1:16" ht="20.100000000000001" customHeight="1" x14ac:dyDescent="0.25">
      <c r="A53" s="58">
        <v>10</v>
      </c>
      <c r="B53" s="56">
        <f t="shared" ref="B53" si="20">B17</f>
        <v>0</v>
      </c>
      <c r="C53" s="56" t="s">
        <v>174</v>
      </c>
      <c r="D53" s="56" t="str">
        <f t="shared" ref="D53:L53" si="21">IF(D17&gt;=60,"LULUS","TIDAK LULUS")</f>
        <v>TIDAK LULUS</v>
      </c>
      <c r="E53" s="56" t="str">
        <f t="shared" si="21"/>
        <v>TIDAK LULUS</v>
      </c>
      <c r="F53" s="56" t="str">
        <f t="shared" si="21"/>
        <v>TIDAK LULUS</v>
      </c>
      <c r="G53" s="56" t="str">
        <f t="shared" si="21"/>
        <v>TIDAK LULUS</v>
      </c>
      <c r="H53" s="56" t="str">
        <f t="shared" si="21"/>
        <v>TIDAK LULUS</v>
      </c>
      <c r="I53" s="56" t="str">
        <f t="shared" si="21"/>
        <v>TIDAK LULUS</v>
      </c>
      <c r="J53" s="56" t="str">
        <f t="shared" si="21"/>
        <v>TIDAK LULUS</v>
      </c>
      <c r="K53" s="56" t="str">
        <f t="shared" si="21"/>
        <v>TIDAK LULUS</v>
      </c>
      <c r="L53" s="56" t="str">
        <f t="shared" si="21"/>
        <v>TIDAK LULUS</v>
      </c>
      <c r="M53" s="58"/>
      <c r="N53" s="55">
        <f t="shared" si="7"/>
        <v>0</v>
      </c>
      <c r="O53" s="55"/>
      <c r="P53" s="56"/>
    </row>
    <row r="54" spans="1:16" ht="20.100000000000001" customHeight="1" x14ac:dyDescent="0.25">
      <c r="A54" s="58">
        <v>11</v>
      </c>
      <c r="B54" s="56">
        <f t="shared" ref="B54" si="22">B18</f>
        <v>0</v>
      </c>
      <c r="C54" s="56" t="s">
        <v>174</v>
      </c>
      <c r="D54" s="56" t="str">
        <f t="shared" ref="D54:L54" si="23">IF(D18&gt;=60,"LULUS","TIDAK LULUS")</f>
        <v>TIDAK LULUS</v>
      </c>
      <c r="E54" s="56" t="str">
        <f t="shared" si="23"/>
        <v>TIDAK LULUS</v>
      </c>
      <c r="F54" s="56" t="str">
        <f t="shared" si="23"/>
        <v>TIDAK LULUS</v>
      </c>
      <c r="G54" s="56" t="str">
        <f t="shared" si="23"/>
        <v>TIDAK LULUS</v>
      </c>
      <c r="H54" s="56" t="str">
        <f t="shared" si="23"/>
        <v>TIDAK LULUS</v>
      </c>
      <c r="I54" s="56" t="str">
        <f t="shared" si="23"/>
        <v>TIDAK LULUS</v>
      </c>
      <c r="J54" s="56" t="str">
        <f t="shared" si="23"/>
        <v>TIDAK LULUS</v>
      </c>
      <c r="K54" s="56" t="str">
        <f t="shared" si="23"/>
        <v>TIDAK LULUS</v>
      </c>
      <c r="L54" s="56" t="str">
        <f t="shared" si="23"/>
        <v>TIDAK LULUS</v>
      </c>
      <c r="M54" s="58"/>
      <c r="N54" s="55">
        <f t="shared" si="7"/>
        <v>0</v>
      </c>
      <c r="O54" s="55"/>
      <c r="P54" s="56"/>
    </row>
    <row r="55" spans="1:16" ht="20.100000000000001" customHeight="1" x14ac:dyDescent="0.25">
      <c r="A55" s="58">
        <v>12</v>
      </c>
      <c r="B55" s="56">
        <f t="shared" ref="B55" si="24">B19</f>
        <v>0</v>
      </c>
      <c r="C55" s="56" t="s">
        <v>174</v>
      </c>
      <c r="D55" s="56" t="str">
        <f t="shared" ref="D55:L55" si="25">IF(D19&gt;=60,"LULUS","TIDAK LULUS")</f>
        <v>TIDAK LULUS</v>
      </c>
      <c r="E55" s="56" t="str">
        <f t="shared" si="25"/>
        <v>TIDAK LULUS</v>
      </c>
      <c r="F55" s="56" t="str">
        <f t="shared" si="25"/>
        <v>TIDAK LULUS</v>
      </c>
      <c r="G55" s="56" t="str">
        <f t="shared" si="25"/>
        <v>TIDAK LULUS</v>
      </c>
      <c r="H55" s="56" t="str">
        <f t="shared" si="25"/>
        <v>TIDAK LULUS</v>
      </c>
      <c r="I55" s="56" t="str">
        <f t="shared" si="25"/>
        <v>TIDAK LULUS</v>
      </c>
      <c r="J55" s="56" t="str">
        <f t="shared" si="25"/>
        <v>TIDAK LULUS</v>
      </c>
      <c r="K55" s="56" t="str">
        <f t="shared" si="25"/>
        <v>TIDAK LULUS</v>
      </c>
      <c r="L55" s="56" t="str">
        <f t="shared" si="25"/>
        <v>TIDAK LULUS</v>
      </c>
      <c r="M55" s="58"/>
      <c r="N55" s="55">
        <f t="shared" si="7"/>
        <v>0</v>
      </c>
      <c r="O55" s="55"/>
      <c r="P55" s="56"/>
    </row>
    <row r="56" spans="1:16" ht="20.100000000000001" customHeight="1" x14ac:dyDescent="0.25">
      <c r="A56" s="58">
        <v>13</v>
      </c>
      <c r="B56" s="56">
        <f t="shared" ref="B56" si="26">B20</f>
        <v>0</v>
      </c>
      <c r="C56" s="56" t="s">
        <v>174</v>
      </c>
      <c r="D56" s="56" t="str">
        <f t="shared" ref="D56:L56" si="27">IF(D20&gt;=60,"LULUS","TIDAK LULUS")</f>
        <v>TIDAK LULUS</v>
      </c>
      <c r="E56" s="56" t="str">
        <f t="shared" si="27"/>
        <v>TIDAK LULUS</v>
      </c>
      <c r="F56" s="56" t="str">
        <f t="shared" si="27"/>
        <v>TIDAK LULUS</v>
      </c>
      <c r="G56" s="56" t="str">
        <f t="shared" si="27"/>
        <v>TIDAK LULUS</v>
      </c>
      <c r="H56" s="56" t="str">
        <f t="shared" si="27"/>
        <v>TIDAK LULUS</v>
      </c>
      <c r="I56" s="56" t="str">
        <f t="shared" si="27"/>
        <v>TIDAK LULUS</v>
      </c>
      <c r="J56" s="56" t="str">
        <f t="shared" si="27"/>
        <v>TIDAK LULUS</v>
      </c>
      <c r="K56" s="56" t="str">
        <f t="shared" si="27"/>
        <v>TIDAK LULUS</v>
      </c>
      <c r="L56" s="56" t="str">
        <f t="shared" si="27"/>
        <v>TIDAK LULUS</v>
      </c>
      <c r="M56" s="58"/>
      <c r="N56" s="55">
        <f t="shared" si="7"/>
        <v>0</v>
      </c>
      <c r="O56" s="55"/>
      <c r="P56" s="56"/>
    </row>
    <row r="57" spans="1:16" ht="20.100000000000001" customHeight="1" x14ac:dyDescent="0.25">
      <c r="A57" s="58">
        <v>14</v>
      </c>
      <c r="B57" s="56">
        <f t="shared" ref="B57" si="28">B21</f>
        <v>0</v>
      </c>
      <c r="C57" s="56" t="s">
        <v>174</v>
      </c>
      <c r="D57" s="56" t="str">
        <f t="shared" ref="D57:L57" si="29">IF(D21&gt;=60,"LULUS","TIDAK LULUS")</f>
        <v>TIDAK LULUS</v>
      </c>
      <c r="E57" s="56" t="str">
        <f t="shared" si="29"/>
        <v>TIDAK LULUS</v>
      </c>
      <c r="F57" s="56" t="str">
        <f t="shared" si="29"/>
        <v>TIDAK LULUS</v>
      </c>
      <c r="G57" s="56" t="str">
        <f t="shared" si="29"/>
        <v>TIDAK LULUS</v>
      </c>
      <c r="H57" s="56" t="str">
        <f t="shared" si="29"/>
        <v>TIDAK LULUS</v>
      </c>
      <c r="I57" s="56" t="str">
        <f t="shared" si="29"/>
        <v>TIDAK LULUS</v>
      </c>
      <c r="J57" s="56" t="str">
        <f t="shared" si="29"/>
        <v>TIDAK LULUS</v>
      </c>
      <c r="K57" s="56" t="str">
        <f t="shared" si="29"/>
        <v>TIDAK LULUS</v>
      </c>
      <c r="L57" s="56" t="str">
        <f t="shared" si="29"/>
        <v>TIDAK LULUS</v>
      </c>
      <c r="M57" s="58"/>
      <c r="N57" s="55">
        <f t="shared" si="7"/>
        <v>0</v>
      </c>
      <c r="O57" s="55"/>
      <c r="P57" s="56"/>
    </row>
    <row r="58" spans="1:16" ht="20.100000000000001" customHeight="1" x14ac:dyDescent="0.25">
      <c r="A58" s="58">
        <v>15</v>
      </c>
      <c r="B58" s="56">
        <f t="shared" ref="B58" si="30">B22</f>
        <v>0</v>
      </c>
      <c r="C58" s="56" t="s">
        <v>174</v>
      </c>
      <c r="D58" s="56" t="str">
        <f t="shared" ref="D58:L58" si="31">IF(D22&gt;=60,"LULUS","TIDAK LULUS")</f>
        <v>TIDAK LULUS</v>
      </c>
      <c r="E58" s="56" t="str">
        <f t="shared" si="31"/>
        <v>TIDAK LULUS</v>
      </c>
      <c r="F58" s="56" t="str">
        <f t="shared" si="31"/>
        <v>TIDAK LULUS</v>
      </c>
      <c r="G58" s="56" t="str">
        <f t="shared" si="31"/>
        <v>TIDAK LULUS</v>
      </c>
      <c r="H58" s="56" t="str">
        <f t="shared" si="31"/>
        <v>TIDAK LULUS</v>
      </c>
      <c r="I58" s="56" t="str">
        <f t="shared" si="31"/>
        <v>TIDAK LULUS</v>
      </c>
      <c r="J58" s="56" t="str">
        <f t="shared" si="31"/>
        <v>TIDAK LULUS</v>
      </c>
      <c r="K58" s="56" t="str">
        <f t="shared" si="31"/>
        <v>TIDAK LULUS</v>
      </c>
      <c r="L58" s="56" t="str">
        <f t="shared" si="31"/>
        <v>TIDAK LULUS</v>
      </c>
      <c r="M58" s="58"/>
      <c r="N58" s="55">
        <f t="shared" si="7"/>
        <v>0</v>
      </c>
      <c r="O58" s="55"/>
      <c r="P58" s="56"/>
    </row>
    <row r="59" spans="1:16" ht="20.100000000000001" customHeight="1" x14ac:dyDescent="0.25">
      <c r="A59" s="58">
        <v>16</v>
      </c>
      <c r="B59" s="56">
        <f t="shared" ref="B59" si="32">B23</f>
        <v>0</v>
      </c>
      <c r="C59" s="56" t="s">
        <v>174</v>
      </c>
      <c r="D59" s="56" t="str">
        <f t="shared" ref="D59:L59" si="33">IF(D23&gt;=60,"LULUS","TIDAK LULUS")</f>
        <v>TIDAK LULUS</v>
      </c>
      <c r="E59" s="56" t="str">
        <f t="shared" si="33"/>
        <v>TIDAK LULUS</v>
      </c>
      <c r="F59" s="56" t="str">
        <f t="shared" si="33"/>
        <v>TIDAK LULUS</v>
      </c>
      <c r="G59" s="56" t="str">
        <f t="shared" si="33"/>
        <v>TIDAK LULUS</v>
      </c>
      <c r="H59" s="56" t="str">
        <f t="shared" si="33"/>
        <v>TIDAK LULUS</v>
      </c>
      <c r="I59" s="56" t="str">
        <f t="shared" si="33"/>
        <v>TIDAK LULUS</v>
      </c>
      <c r="J59" s="56" t="str">
        <f t="shared" si="33"/>
        <v>TIDAK LULUS</v>
      </c>
      <c r="K59" s="56" t="str">
        <f t="shared" si="33"/>
        <v>TIDAK LULUS</v>
      </c>
      <c r="L59" s="56" t="str">
        <f t="shared" si="33"/>
        <v>TIDAK LULUS</v>
      </c>
      <c r="M59" s="58"/>
      <c r="N59" s="55">
        <f t="shared" si="7"/>
        <v>0</v>
      </c>
      <c r="O59" s="55"/>
      <c r="P59" s="56"/>
    </row>
    <row r="60" spans="1:16" ht="20.100000000000001" customHeight="1" x14ac:dyDescent="0.25">
      <c r="A60" s="58">
        <v>17</v>
      </c>
      <c r="B60" s="56">
        <f t="shared" ref="B60" si="34">B24</f>
        <v>0</v>
      </c>
      <c r="C60" s="56" t="s">
        <v>174</v>
      </c>
      <c r="D60" s="56" t="str">
        <f t="shared" ref="D60:L60" si="35">IF(D24&gt;=60,"LULUS","TIDAK LULUS")</f>
        <v>TIDAK LULUS</v>
      </c>
      <c r="E60" s="56" t="str">
        <f t="shared" si="35"/>
        <v>TIDAK LULUS</v>
      </c>
      <c r="F60" s="56" t="str">
        <f t="shared" si="35"/>
        <v>TIDAK LULUS</v>
      </c>
      <c r="G60" s="56" t="str">
        <f t="shared" si="35"/>
        <v>TIDAK LULUS</v>
      </c>
      <c r="H60" s="56" t="str">
        <f t="shared" si="35"/>
        <v>TIDAK LULUS</v>
      </c>
      <c r="I60" s="56" t="str">
        <f t="shared" si="35"/>
        <v>TIDAK LULUS</v>
      </c>
      <c r="J60" s="56" t="str">
        <f t="shared" si="35"/>
        <v>TIDAK LULUS</v>
      </c>
      <c r="K60" s="56" t="str">
        <f t="shared" si="35"/>
        <v>TIDAK LULUS</v>
      </c>
      <c r="L60" s="56" t="str">
        <f t="shared" si="35"/>
        <v>TIDAK LULUS</v>
      </c>
      <c r="M60" s="58"/>
      <c r="N60" s="55">
        <f t="shared" si="7"/>
        <v>0</v>
      </c>
      <c r="O60" s="55"/>
      <c r="P60" s="56"/>
    </row>
    <row r="61" spans="1:16" ht="20.100000000000001" customHeight="1" x14ac:dyDescent="0.25">
      <c r="A61" s="58">
        <v>18</v>
      </c>
      <c r="B61" s="56">
        <f t="shared" ref="B61" si="36">B25</f>
        <v>0</v>
      </c>
      <c r="C61" s="56" t="s">
        <v>174</v>
      </c>
      <c r="D61" s="56" t="str">
        <f t="shared" ref="D61:L61" si="37">IF(D25&gt;=60,"LULUS","TIDAK LULUS")</f>
        <v>TIDAK LULUS</v>
      </c>
      <c r="E61" s="56" t="str">
        <f t="shared" si="37"/>
        <v>TIDAK LULUS</v>
      </c>
      <c r="F61" s="56" t="str">
        <f t="shared" si="37"/>
        <v>TIDAK LULUS</v>
      </c>
      <c r="G61" s="56" t="str">
        <f t="shared" si="37"/>
        <v>TIDAK LULUS</v>
      </c>
      <c r="H61" s="56" t="str">
        <f t="shared" si="37"/>
        <v>TIDAK LULUS</v>
      </c>
      <c r="I61" s="56" t="str">
        <f t="shared" si="37"/>
        <v>TIDAK LULUS</v>
      </c>
      <c r="J61" s="56" t="str">
        <f t="shared" si="37"/>
        <v>TIDAK LULUS</v>
      </c>
      <c r="K61" s="56" t="str">
        <f t="shared" si="37"/>
        <v>TIDAK LULUS</v>
      </c>
      <c r="L61" s="56" t="str">
        <f t="shared" si="37"/>
        <v>TIDAK LULUS</v>
      </c>
      <c r="M61" s="58"/>
      <c r="N61" s="55">
        <f t="shared" si="7"/>
        <v>0</v>
      </c>
      <c r="O61" s="55"/>
      <c r="P61" s="56"/>
    </row>
    <row r="62" spans="1:16" ht="20.100000000000001" customHeight="1" x14ac:dyDescent="0.25">
      <c r="A62" s="58">
        <v>19</v>
      </c>
      <c r="B62" s="56">
        <f t="shared" ref="B62" si="38">B26</f>
        <v>0</v>
      </c>
      <c r="C62" s="56" t="s">
        <v>174</v>
      </c>
      <c r="D62" s="56" t="str">
        <f t="shared" ref="D62:L62" si="39">IF(D26&gt;=60,"LULUS","TIDAK LULUS")</f>
        <v>TIDAK LULUS</v>
      </c>
      <c r="E62" s="56" t="str">
        <f t="shared" si="39"/>
        <v>TIDAK LULUS</v>
      </c>
      <c r="F62" s="56" t="str">
        <f t="shared" si="39"/>
        <v>TIDAK LULUS</v>
      </c>
      <c r="G62" s="56" t="str">
        <f t="shared" si="39"/>
        <v>TIDAK LULUS</v>
      </c>
      <c r="H62" s="56" t="str">
        <f t="shared" si="39"/>
        <v>TIDAK LULUS</v>
      </c>
      <c r="I62" s="56" t="str">
        <f t="shared" si="39"/>
        <v>TIDAK LULUS</v>
      </c>
      <c r="J62" s="56" t="str">
        <f t="shared" si="39"/>
        <v>TIDAK LULUS</v>
      </c>
      <c r="K62" s="56" t="str">
        <f t="shared" si="39"/>
        <v>TIDAK LULUS</v>
      </c>
      <c r="L62" s="56" t="str">
        <f t="shared" si="39"/>
        <v>TIDAK LULUS</v>
      </c>
      <c r="M62" s="58"/>
      <c r="N62" s="55">
        <f t="shared" si="7"/>
        <v>0</v>
      </c>
      <c r="O62" s="55"/>
      <c r="P62" s="56"/>
    </row>
    <row r="63" spans="1:16" ht="20.100000000000001" customHeight="1" x14ac:dyDescent="0.25">
      <c r="A63" s="58">
        <v>20</v>
      </c>
      <c r="B63" s="56">
        <f t="shared" ref="B63" si="40">B27</f>
        <v>0</v>
      </c>
      <c r="C63" s="56" t="s">
        <v>174</v>
      </c>
      <c r="D63" s="56" t="str">
        <f t="shared" ref="D63:L63" si="41">IF(D27&gt;=60,"LULUS","TIDAK LULUS")</f>
        <v>TIDAK LULUS</v>
      </c>
      <c r="E63" s="56" t="str">
        <f t="shared" si="41"/>
        <v>TIDAK LULUS</v>
      </c>
      <c r="F63" s="56" t="str">
        <f t="shared" si="41"/>
        <v>TIDAK LULUS</v>
      </c>
      <c r="G63" s="56" t="str">
        <f t="shared" si="41"/>
        <v>TIDAK LULUS</v>
      </c>
      <c r="H63" s="56" t="str">
        <f t="shared" si="41"/>
        <v>TIDAK LULUS</v>
      </c>
      <c r="I63" s="56" t="str">
        <f t="shared" si="41"/>
        <v>TIDAK LULUS</v>
      </c>
      <c r="J63" s="56" t="str">
        <f t="shared" si="41"/>
        <v>TIDAK LULUS</v>
      </c>
      <c r="K63" s="56" t="str">
        <f t="shared" si="41"/>
        <v>TIDAK LULUS</v>
      </c>
      <c r="L63" s="56" t="str">
        <f t="shared" si="41"/>
        <v>TIDAK LULUS</v>
      </c>
      <c r="M63" s="58"/>
      <c r="N63" s="55">
        <f t="shared" si="7"/>
        <v>0</v>
      </c>
      <c r="O63" s="55"/>
      <c r="P63" s="56"/>
    </row>
    <row r="64" spans="1:16" ht="20.100000000000001" customHeight="1" x14ac:dyDescent="0.25">
      <c r="A64" s="58">
        <v>21</v>
      </c>
      <c r="B64" s="56">
        <f t="shared" ref="B64" si="42">B28</f>
        <v>0</v>
      </c>
      <c r="C64" s="56" t="s">
        <v>174</v>
      </c>
      <c r="D64" s="56" t="str">
        <f t="shared" ref="D64:L64" si="43">IF(D28&gt;=60,"LULUS","TIDAK LULUS")</f>
        <v>TIDAK LULUS</v>
      </c>
      <c r="E64" s="56" t="str">
        <f t="shared" si="43"/>
        <v>TIDAK LULUS</v>
      </c>
      <c r="F64" s="56" t="str">
        <f t="shared" si="43"/>
        <v>TIDAK LULUS</v>
      </c>
      <c r="G64" s="56" t="str">
        <f t="shared" si="43"/>
        <v>TIDAK LULUS</v>
      </c>
      <c r="H64" s="56" t="str">
        <f t="shared" si="43"/>
        <v>TIDAK LULUS</v>
      </c>
      <c r="I64" s="56" t="str">
        <f t="shared" si="43"/>
        <v>TIDAK LULUS</v>
      </c>
      <c r="J64" s="56" t="str">
        <f t="shared" si="43"/>
        <v>TIDAK LULUS</v>
      </c>
      <c r="K64" s="56" t="str">
        <f t="shared" si="43"/>
        <v>TIDAK LULUS</v>
      </c>
      <c r="L64" s="56" t="str">
        <f t="shared" si="43"/>
        <v>TIDAK LULUS</v>
      </c>
      <c r="M64" s="58"/>
      <c r="N64" s="55">
        <f t="shared" si="7"/>
        <v>0</v>
      </c>
      <c r="O64" s="55"/>
      <c r="P64" s="56"/>
    </row>
    <row r="65" spans="1:12" ht="20.100000000000001" customHeight="1" x14ac:dyDescent="0.25">
      <c r="D65" s="60"/>
      <c r="E65" s="60"/>
      <c r="F65" s="60"/>
      <c r="G65" s="60"/>
      <c r="H65" s="60"/>
      <c r="I65" s="60"/>
      <c r="J65" s="60"/>
      <c r="K65" s="60"/>
      <c r="L65" s="60"/>
    </row>
    <row r="66" spans="1:12" ht="20.100000000000001" customHeight="1" x14ac:dyDescent="0.25">
      <c r="A66" s="60"/>
      <c r="B66" s="60" t="s">
        <v>138</v>
      </c>
      <c r="C66" s="60"/>
      <c r="D66" s="60"/>
      <c r="K66" s="59">
        <f>'Data '!H74</f>
        <v>0</v>
      </c>
    </row>
    <row r="67" spans="1:12" ht="20.100000000000001" customHeight="1" x14ac:dyDescent="0.25">
      <c r="A67" s="60"/>
      <c r="B67" s="63"/>
      <c r="C67" s="56" t="s">
        <v>101</v>
      </c>
      <c r="D67" s="60"/>
      <c r="K67" s="60" t="s">
        <v>53</v>
      </c>
    </row>
    <row r="68" spans="1:12" ht="20.100000000000001" customHeight="1" x14ac:dyDescent="0.25">
      <c r="A68" s="60"/>
      <c r="B68" s="64"/>
      <c r="C68" s="56" t="s">
        <v>139</v>
      </c>
      <c r="D68" s="60"/>
      <c r="K68" s="60"/>
    </row>
    <row r="69" spans="1:12" ht="20.100000000000001" customHeight="1" x14ac:dyDescent="0.25">
      <c r="A69" s="60"/>
      <c r="B69" s="60"/>
      <c r="C69" s="60"/>
      <c r="D69" s="60"/>
      <c r="K69" s="60"/>
    </row>
    <row r="70" spans="1:12" ht="20.100000000000001" customHeight="1" x14ac:dyDescent="0.25">
      <c r="A70" s="60"/>
      <c r="B70" s="60"/>
      <c r="C70" s="60"/>
      <c r="D70" s="60"/>
      <c r="K70" s="60"/>
    </row>
    <row r="71" spans="1:12" ht="20.100000000000001" customHeight="1" x14ac:dyDescent="0.25">
      <c r="A71" s="60"/>
      <c r="B71" s="60"/>
      <c r="C71" s="60"/>
      <c r="D71" s="60"/>
      <c r="K71" s="61" t="s">
        <v>96</v>
      </c>
    </row>
  </sheetData>
  <mergeCells count="19">
    <mergeCell ref="A1:P1"/>
    <mergeCell ref="A2:P2"/>
    <mergeCell ref="A5:A7"/>
    <mergeCell ref="B5:B7"/>
    <mergeCell ref="C5:C7"/>
    <mergeCell ref="D5:M5"/>
    <mergeCell ref="N5:N7"/>
    <mergeCell ref="P5:P7"/>
    <mergeCell ref="D6:M6"/>
    <mergeCell ref="O5:O7"/>
    <mergeCell ref="A37:P37"/>
    <mergeCell ref="A38:P38"/>
    <mergeCell ref="A41:A43"/>
    <mergeCell ref="B41:B43"/>
    <mergeCell ref="C41:C43"/>
    <mergeCell ref="D41:M41"/>
    <mergeCell ref="N41:N43"/>
    <mergeCell ref="P41:P43"/>
    <mergeCell ref="D42:M42"/>
  </mergeCells>
  <conditionalFormatting sqref="D8:M28">
    <cfRule type="cellIs" dxfId="46" priority="1" operator="lessThan">
      <formula>5</formula>
    </cfRule>
  </conditionalFormatting>
  <pageMargins left="0.7" right="0.7" top="0.75" bottom="0.75" header="0.3" footer="0.3"/>
  <pageSetup paperSize="10000" scale="29" orientation="landscape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7B69B-57E8-4457-A95F-D1A1ACB905FA}">
  <sheetPr>
    <pageSetUpPr fitToPage="1"/>
  </sheetPr>
  <dimension ref="A1:AA124"/>
  <sheetViews>
    <sheetView view="pageBreakPreview" topLeftCell="B1" zoomScale="60" workbookViewId="0">
      <selection activeCell="D16" sqref="D16"/>
    </sheetView>
  </sheetViews>
  <sheetFormatPr defaultRowHeight="18" customHeight="1" x14ac:dyDescent="0.2"/>
  <cols>
    <col min="1" max="1" width="5.7109375" style="25" customWidth="1"/>
    <col min="2" max="2" width="29.5703125" style="25" customWidth="1"/>
    <col min="3" max="3" width="21.7109375" style="25" customWidth="1"/>
    <col min="4" max="13" width="6.7109375" style="25" customWidth="1"/>
    <col min="14" max="14" width="8.7109375" style="25" customWidth="1"/>
    <col min="15" max="15" width="30" style="25" customWidth="1"/>
    <col min="16" max="16" width="6.42578125" style="25" customWidth="1"/>
    <col min="17" max="17" width="9.140625" style="25"/>
    <col min="18" max="18" width="3.42578125" style="25" customWidth="1"/>
    <col min="19" max="19" width="9.85546875" style="25" customWidth="1"/>
    <col min="20" max="27" width="4.7109375" style="25" customWidth="1"/>
    <col min="28" max="16384" width="9.140625" style="25"/>
  </cols>
  <sheetData>
    <row r="1" spans="1:21" ht="18" customHeight="1" x14ac:dyDescent="0.2">
      <c r="A1" s="144" t="s">
        <v>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</row>
    <row r="2" spans="1:21" ht="18" customHeight="1" x14ac:dyDescent="0.2">
      <c r="A2" s="144" t="s">
        <v>12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</row>
    <row r="3" spans="1:21" ht="18" customHeight="1" x14ac:dyDescent="0.25">
      <c r="C3" s="26"/>
      <c r="D3" s="26"/>
      <c r="E3" s="26"/>
      <c r="F3" s="26"/>
      <c r="G3" s="26"/>
      <c r="H3" s="26"/>
      <c r="I3" s="26"/>
      <c r="J3" s="26"/>
      <c r="K3" s="26"/>
      <c r="L3" s="27" t="s">
        <v>13</v>
      </c>
      <c r="N3" s="25" t="s">
        <v>14</v>
      </c>
      <c r="O3" s="26"/>
    </row>
    <row r="5" spans="1:21" ht="18" customHeight="1" x14ac:dyDescent="0.2">
      <c r="A5" s="142" t="s">
        <v>1</v>
      </c>
      <c r="B5" s="142" t="s">
        <v>2</v>
      </c>
      <c r="C5" s="142" t="s">
        <v>3</v>
      </c>
      <c r="D5" s="142" t="s">
        <v>4</v>
      </c>
      <c r="E5" s="142"/>
      <c r="F5" s="142"/>
      <c r="G5" s="142"/>
      <c r="H5" s="142"/>
      <c r="I5" s="142"/>
      <c r="J5" s="142"/>
      <c r="K5" s="142"/>
      <c r="L5" s="142"/>
      <c r="M5" s="142"/>
      <c r="N5" s="143" t="s">
        <v>7</v>
      </c>
      <c r="O5" s="142" t="s">
        <v>8</v>
      </c>
      <c r="Q5" s="28"/>
      <c r="R5" s="28"/>
      <c r="S5" s="28"/>
      <c r="T5" s="28"/>
      <c r="U5" s="28"/>
    </row>
    <row r="6" spans="1:21" ht="18" customHeight="1" x14ac:dyDescent="0.2">
      <c r="A6" s="142"/>
      <c r="B6" s="142"/>
      <c r="C6" s="142"/>
      <c r="D6" s="142" t="s">
        <v>5</v>
      </c>
      <c r="E6" s="142"/>
      <c r="F6" s="142"/>
      <c r="G6" s="142"/>
      <c r="H6" s="142"/>
      <c r="I6" s="142" t="s">
        <v>6</v>
      </c>
      <c r="J6" s="142"/>
      <c r="K6" s="142"/>
      <c r="L6" s="142"/>
      <c r="M6" s="142"/>
      <c r="N6" s="143"/>
      <c r="O6" s="142"/>
      <c r="Q6" s="28"/>
      <c r="R6" s="28"/>
      <c r="S6" s="28"/>
      <c r="T6" s="28"/>
      <c r="U6" s="28"/>
    </row>
    <row r="7" spans="1:21" ht="18" customHeight="1" x14ac:dyDescent="0.2">
      <c r="A7" s="142"/>
      <c r="B7" s="142"/>
      <c r="C7" s="142"/>
      <c r="D7" s="29">
        <v>1</v>
      </c>
      <c r="E7" s="29">
        <v>2</v>
      </c>
      <c r="F7" s="29">
        <v>3</v>
      </c>
      <c r="G7" s="29">
        <v>4</v>
      </c>
      <c r="H7" s="29">
        <v>5</v>
      </c>
      <c r="I7" s="29">
        <v>1</v>
      </c>
      <c r="J7" s="29">
        <v>2</v>
      </c>
      <c r="K7" s="29">
        <v>3</v>
      </c>
      <c r="L7" s="29">
        <v>4</v>
      </c>
      <c r="M7" s="29">
        <v>5</v>
      </c>
      <c r="N7" s="143"/>
      <c r="O7" s="142"/>
      <c r="Q7" s="28"/>
      <c r="R7" s="28"/>
      <c r="S7" s="28"/>
      <c r="T7" s="28"/>
      <c r="U7" s="28"/>
    </row>
    <row r="8" spans="1:21" ht="18" customHeight="1" x14ac:dyDescent="0.25">
      <c r="A8" s="29">
        <v>1</v>
      </c>
      <c r="B8" s="166" t="str">
        <f>VLOOKUP(A8,'Data '!A2:J36,3,0)</f>
        <v>Ahmad Alhabib Ramadhan</v>
      </c>
      <c r="C8" s="166" t="str">
        <f>VLOOKUP(A8,'Data '!A2:J36,2,0)</f>
        <v>Utsmaniyyah III</v>
      </c>
      <c r="D8" s="30">
        <v>1</v>
      </c>
      <c r="E8" s="30"/>
      <c r="F8" s="30"/>
      <c r="G8" s="30"/>
      <c r="H8" s="30"/>
      <c r="I8" s="30"/>
      <c r="J8" s="30"/>
      <c r="K8" s="30"/>
      <c r="L8" s="30"/>
      <c r="M8" s="30"/>
      <c r="N8" s="166">
        <f>SUM(D8:M8)</f>
        <v>1</v>
      </c>
      <c r="O8" s="19"/>
      <c r="Q8" s="30">
        <f>SUM(D8:M8)</f>
        <v>1</v>
      </c>
    </row>
    <row r="9" spans="1:21" ht="18" customHeight="1" x14ac:dyDescent="0.25">
      <c r="A9" s="29">
        <v>2</v>
      </c>
      <c r="B9" s="166" t="str">
        <f>VLOOKUP(A9,'Data '!A3:J37,3,0)</f>
        <v>Aulia Zahra El Fikri</v>
      </c>
      <c r="C9" s="166" t="str">
        <f>VLOOKUP(A9,'Data '!A3:J37,2,0)</f>
        <v>Utsmaniyyah III</v>
      </c>
      <c r="D9" s="30">
        <v>2</v>
      </c>
      <c r="E9" s="30"/>
      <c r="F9" s="30"/>
      <c r="G9" s="30"/>
      <c r="H9" s="30"/>
      <c r="I9" s="30"/>
      <c r="J9" s="30"/>
      <c r="K9" s="30"/>
      <c r="L9" s="30"/>
      <c r="M9" s="30"/>
      <c r="N9" s="166">
        <f t="shared" ref="N9:N28" si="0">SUM(D9:M9)</f>
        <v>2</v>
      </c>
      <c r="O9" s="19"/>
      <c r="Q9" s="30">
        <f t="shared" ref="Q9:Q28" si="1">SUM(D9:M9)</f>
        <v>2</v>
      </c>
    </row>
    <row r="10" spans="1:21" ht="18" customHeight="1" x14ac:dyDescent="0.25">
      <c r="A10" s="29">
        <v>3</v>
      </c>
      <c r="B10" s="166" t="str">
        <f>VLOOKUP(A10,'Data '!A4:J38,3,0)</f>
        <v>Nur Habibi</v>
      </c>
      <c r="C10" s="166" t="str">
        <f>VLOOKUP(A10,'Data '!A4:J38,2,0)</f>
        <v>Utsmaniyyah III</v>
      </c>
      <c r="D10" s="30">
        <v>3</v>
      </c>
      <c r="E10" s="30"/>
      <c r="F10" s="30"/>
      <c r="G10" s="30"/>
      <c r="H10" s="30"/>
      <c r="I10" s="30"/>
      <c r="J10" s="30"/>
      <c r="K10" s="30"/>
      <c r="L10" s="30"/>
      <c r="M10" s="30"/>
      <c r="N10" s="166">
        <f t="shared" si="0"/>
        <v>3</v>
      </c>
      <c r="O10" s="19"/>
      <c r="Q10" s="30">
        <f t="shared" si="1"/>
        <v>3</v>
      </c>
    </row>
    <row r="11" spans="1:21" ht="18" customHeight="1" x14ac:dyDescent="0.25">
      <c r="A11" s="29">
        <v>4</v>
      </c>
      <c r="B11" s="166" t="str">
        <f>VLOOKUP(A11,'Data '!A5:J39,3,0)</f>
        <v>M. Fatan Azzamy Isma'il</v>
      </c>
      <c r="C11" s="166" t="str">
        <f>VLOOKUP(A11,'Data '!A5:J39,2,0)</f>
        <v>Utsmaniyyah III</v>
      </c>
      <c r="D11" s="30">
        <v>4</v>
      </c>
      <c r="E11" s="30"/>
      <c r="F11" s="30"/>
      <c r="G11" s="30"/>
      <c r="H11" s="30"/>
      <c r="I11" s="30"/>
      <c r="J11" s="30"/>
      <c r="K11" s="30"/>
      <c r="L11" s="30"/>
      <c r="M11" s="30"/>
      <c r="N11" s="166">
        <f t="shared" si="0"/>
        <v>4</v>
      </c>
      <c r="O11" s="19"/>
      <c r="Q11" s="30">
        <f t="shared" si="1"/>
        <v>4</v>
      </c>
    </row>
    <row r="12" spans="1:21" ht="18" customHeight="1" x14ac:dyDescent="0.25">
      <c r="A12" s="29">
        <v>5</v>
      </c>
      <c r="B12" s="166" t="str">
        <f>VLOOKUP(A12,'Data '!A6:J40,3,0)</f>
        <v>M. Mahi Mutawakkil</v>
      </c>
      <c r="C12" s="166" t="str">
        <f>VLOOKUP(A12,'Data '!A6:J40,2,0)</f>
        <v>Utsmaniyyah III</v>
      </c>
      <c r="D12" s="30">
        <v>5</v>
      </c>
      <c r="E12" s="30"/>
      <c r="F12" s="30"/>
      <c r="G12" s="30"/>
      <c r="H12" s="30"/>
      <c r="I12" s="30"/>
      <c r="J12" s="30"/>
      <c r="K12" s="30"/>
      <c r="L12" s="30"/>
      <c r="M12" s="30"/>
      <c r="N12" s="166">
        <f t="shared" si="0"/>
        <v>5</v>
      </c>
      <c r="O12" s="19"/>
      <c r="Q12" s="30">
        <f t="shared" si="1"/>
        <v>5</v>
      </c>
    </row>
    <row r="13" spans="1:21" ht="18" customHeight="1" x14ac:dyDescent="0.25">
      <c r="A13" s="29">
        <v>6</v>
      </c>
      <c r="B13" s="166" t="str">
        <f>VLOOKUP(A13,'Data '!A7:J41,3,0)</f>
        <v>Renoval Faiz Al Ghifari</v>
      </c>
      <c r="C13" s="166" t="str">
        <f>VLOOKUP(A13,'Data '!A7:J41,2,0)</f>
        <v>Utsmaniyyah III</v>
      </c>
      <c r="D13" s="30">
        <v>6</v>
      </c>
      <c r="E13" s="30"/>
      <c r="F13" s="30"/>
      <c r="G13" s="30"/>
      <c r="H13" s="30"/>
      <c r="I13" s="30"/>
      <c r="J13" s="30"/>
      <c r="K13" s="30"/>
      <c r="L13" s="30"/>
      <c r="M13" s="30"/>
      <c r="N13" s="166">
        <f t="shared" si="0"/>
        <v>6</v>
      </c>
      <c r="O13" s="19"/>
      <c r="Q13" s="30">
        <f t="shared" si="1"/>
        <v>6</v>
      </c>
    </row>
    <row r="14" spans="1:21" ht="18" customHeight="1" x14ac:dyDescent="0.25">
      <c r="A14" s="29">
        <v>7</v>
      </c>
      <c r="B14" s="166" t="str">
        <f>VLOOKUP(A14,'Data '!A8:J42,3,0)</f>
        <v>Sindi Wulandari</v>
      </c>
      <c r="C14" s="166" t="str">
        <f>VLOOKUP(A14,'Data '!A8:J42,2,0)</f>
        <v>Utsmaniyyah III</v>
      </c>
      <c r="D14" s="30">
        <v>7</v>
      </c>
      <c r="E14" s="30"/>
      <c r="F14" s="30"/>
      <c r="G14" s="30"/>
      <c r="H14" s="30"/>
      <c r="I14" s="30"/>
      <c r="J14" s="30"/>
      <c r="K14" s="30"/>
      <c r="L14" s="30"/>
      <c r="M14" s="30"/>
      <c r="N14" s="166">
        <f t="shared" si="0"/>
        <v>7</v>
      </c>
      <c r="O14" s="19"/>
      <c r="Q14" s="30">
        <f t="shared" si="1"/>
        <v>7</v>
      </c>
    </row>
    <row r="15" spans="1:21" ht="18" customHeight="1" x14ac:dyDescent="0.25">
      <c r="A15" s="29">
        <v>8</v>
      </c>
      <c r="B15" s="166">
        <f>VLOOKUP(A15,'Data '!A8:J43,3,0)</f>
        <v>0</v>
      </c>
      <c r="C15" s="166">
        <f>VLOOKUP(A15,'Data '!A8:J43,2,0)</f>
        <v>0</v>
      </c>
      <c r="D15" s="30">
        <v>8</v>
      </c>
      <c r="E15" s="30"/>
      <c r="F15" s="30"/>
      <c r="G15" s="30"/>
      <c r="H15" s="30"/>
      <c r="I15" s="30"/>
      <c r="J15" s="30"/>
      <c r="K15" s="30"/>
      <c r="L15" s="30"/>
      <c r="M15" s="30"/>
      <c r="N15" s="166">
        <f t="shared" si="0"/>
        <v>8</v>
      </c>
      <c r="O15" s="19"/>
      <c r="Q15" s="30">
        <f t="shared" si="1"/>
        <v>8</v>
      </c>
    </row>
    <row r="16" spans="1:21" ht="18" customHeight="1" x14ac:dyDescent="0.25">
      <c r="A16" s="29">
        <v>9</v>
      </c>
      <c r="B16" s="166">
        <f>VLOOKUP(A16,'Data '!A9:J44,3,0)</f>
        <v>0</v>
      </c>
      <c r="C16" s="166">
        <f>VLOOKUP(A16,'Data '!A9:J44,2,0)</f>
        <v>0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166">
        <f t="shared" si="0"/>
        <v>0</v>
      </c>
      <c r="O16" s="19"/>
      <c r="Q16" s="30">
        <f t="shared" si="1"/>
        <v>0</v>
      </c>
    </row>
    <row r="17" spans="1:17" ht="18" customHeight="1" x14ac:dyDescent="0.25">
      <c r="A17" s="29">
        <v>10</v>
      </c>
      <c r="B17" s="166">
        <f>VLOOKUP(A17,'Data '!A10:J45,3,0)</f>
        <v>0</v>
      </c>
      <c r="C17" s="166">
        <f>VLOOKUP(A17,'Data '!A10:J45,2,0)</f>
        <v>0</v>
      </c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166">
        <f t="shared" si="0"/>
        <v>0</v>
      </c>
      <c r="O17" s="19"/>
      <c r="Q17" s="30">
        <f t="shared" si="1"/>
        <v>0</v>
      </c>
    </row>
    <row r="18" spans="1:17" ht="18" customHeight="1" x14ac:dyDescent="0.25">
      <c r="A18" s="29">
        <v>11</v>
      </c>
      <c r="B18" s="166">
        <f>VLOOKUP(A18,'Data '!A11:J46,3,0)</f>
        <v>0</v>
      </c>
      <c r="C18" s="166">
        <f>VLOOKUP(A18,'Data '!A11:J46,2,0)</f>
        <v>0</v>
      </c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166">
        <f t="shared" si="0"/>
        <v>0</v>
      </c>
      <c r="O18" s="19"/>
      <c r="Q18" s="30">
        <f t="shared" si="1"/>
        <v>0</v>
      </c>
    </row>
    <row r="19" spans="1:17" ht="18" customHeight="1" x14ac:dyDescent="0.25">
      <c r="A19" s="29">
        <v>12</v>
      </c>
      <c r="B19" s="166">
        <f>VLOOKUP(A19,'Data '!A12:J47,3,0)</f>
        <v>0</v>
      </c>
      <c r="C19" s="166">
        <f>VLOOKUP(A19,'Data '!A12:J47,2,0)</f>
        <v>0</v>
      </c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166">
        <f t="shared" si="0"/>
        <v>0</v>
      </c>
      <c r="O19" s="19"/>
      <c r="Q19" s="30">
        <f t="shared" si="1"/>
        <v>0</v>
      </c>
    </row>
    <row r="20" spans="1:17" ht="18" customHeight="1" x14ac:dyDescent="0.25">
      <c r="A20" s="29">
        <v>13</v>
      </c>
      <c r="B20" s="166">
        <f>VLOOKUP(A20,'Data '!A13:J48,3,0)</f>
        <v>0</v>
      </c>
      <c r="C20" s="166">
        <f>VLOOKUP(A20,'Data '!A13:J48,2,0)</f>
        <v>0</v>
      </c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166">
        <f t="shared" si="0"/>
        <v>0</v>
      </c>
      <c r="O20" s="19"/>
      <c r="Q20" s="30">
        <f t="shared" si="1"/>
        <v>0</v>
      </c>
    </row>
    <row r="21" spans="1:17" ht="18" customHeight="1" x14ac:dyDescent="0.25">
      <c r="A21" s="29">
        <v>14</v>
      </c>
      <c r="B21" s="166">
        <f>VLOOKUP(A21,'Data '!A14:J49,3,0)</f>
        <v>0</v>
      </c>
      <c r="C21" s="166">
        <f>VLOOKUP(A21,'Data '!A14:J49,2,0)</f>
        <v>0</v>
      </c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166">
        <f t="shared" si="0"/>
        <v>0</v>
      </c>
      <c r="O21" s="19"/>
      <c r="Q21" s="30">
        <f t="shared" si="1"/>
        <v>0</v>
      </c>
    </row>
    <row r="22" spans="1:17" ht="18" customHeight="1" x14ac:dyDescent="0.25">
      <c r="A22" s="29">
        <v>15</v>
      </c>
      <c r="B22" s="166">
        <f>VLOOKUP(A22,'Data '!A15:J50,3,0)</f>
        <v>0</v>
      </c>
      <c r="C22" s="166">
        <f>VLOOKUP(A22,'Data '!A15:J50,2,0)</f>
        <v>0</v>
      </c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166">
        <f t="shared" si="0"/>
        <v>0</v>
      </c>
      <c r="O22" s="19"/>
      <c r="Q22" s="30">
        <f t="shared" si="1"/>
        <v>0</v>
      </c>
    </row>
    <row r="23" spans="1:17" ht="18" customHeight="1" x14ac:dyDescent="0.25">
      <c r="A23" s="29">
        <v>16</v>
      </c>
      <c r="B23" s="166">
        <f>VLOOKUP(A23,'Data '!A16:J51,3,0)</f>
        <v>0</v>
      </c>
      <c r="C23" s="166">
        <f>VLOOKUP(A23,'Data '!A16:J51,2,0)</f>
        <v>0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166">
        <f t="shared" si="0"/>
        <v>0</v>
      </c>
      <c r="O23" s="19"/>
      <c r="Q23" s="30">
        <f t="shared" si="1"/>
        <v>0</v>
      </c>
    </row>
    <row r="24" spans="1:17" ht="18" customHeight="1" x14ac:dyDescent="0.25">
      <c r="A24" s="29">
        <v>17</v>
      </c>
      <c r="B24" s="166">
        <f>VLOOKUP(A24,'Data '!A17:J52,3,0)</f>
        <v>0</v>
      </c>
      <c r="C24" s="166">
        <f>VLOOKUP(A24,'Data '!A17:J52,2,0)</f>
        <v>0</v>
      </c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166">
        <f t="shared" si="0"/>
        <v>0</v>
      </c>
      <c r="O24" s="19"/>
      <c r="Q24" s="30">
        <f t="shared" si="1"/>
        <v>0</v>
      </c>
    </row>
    <row r="25" spans="1:17" ht="18" customHeight="1" x14ac:dyDescent="0.25">
      <c r="A25" s="29">
        <v>18</v>
      </c>
      <c r="B25" s="166">
        <f>VLOOKUP(A25,'Data '!A18:J53,3,0)</f>
        <v>0</v>
      </c>
      <c r="C25" s="166">
        <f>VLOOKUP(A25,'Data '!A18:J53,2,0)</f>
        <v>0</v>
      </c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166">
        <f t="shared" si="0"/>
        <v>0</v>
      </c>
      <c r="O25" s="19"/>
      <c r="Q25" s="30">
        <f t="shared" si="1"/>
        <v>0</v>
      </c>
    </row>
    <row r="26" spans="1:17" ht="18" customHeight="1" x14ac:dyDescent="0.25">
      <c r="A26" s="29">
        <v>19</v>
      </c>
      <c r="B26" s="166">
        <f>VLOOKUP(A26,'Data '!A19:J54,3,0)</f>
        <v>0</v>
      </c>
      <c r="C26" s="166">
        <f>VLOOKUP(A26,'Data '!A19:J54,2,0)</f>
        <v>0</v>
      </c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166">
        <f t="shared" si="0"/>
        <v>0</v>
      </c>
      <c r="O26" s="19"/>
      <c r="Q26" s="30">
        <f t="shared" si="1"/>
        <v>0</v>
      </c>
    </row>
    <row r="27" spans="1:17" ht="18" customHeight="1" x14ac:dyDescent="0.25">
      <c r="A27" s="29">
        <v>20</v>
      </c>
      <c r="B27" s="166">
        <f>VLOOKUP(A27,'Data '!A20:J55,3,0)</f>
        <v>0</v>
      </c>
      <c r="C27" s="166">
        <f>VLOOKUP(A27,'Data '!A20:J55,2,0)</f>
        <v>0</v>
      </c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166">
        <f t="shared" si="0"/>
        <v>0</v>
      </c>
      <c r="O27" s="19"/>
      <c r="Q27" s="30">
        <f t="shared" si="1"/>
        <v>0</v>
      </c>
    </row>
    <row r="28" spans="1:17" ht="18" customHeight="1" x14ac:dyDescent="0.25">
      <c r="A28" s="29">
        <v>21</v>
      </c>
      <c r="B28" s="166">
        <f>VLOOKUP(A28,'Data '!A21:J56,3,0)</f>
        <v>0</v>
      </c>
      <c r="C28" s="166">
        <f>VLOOKUP(A28,'Data '!A21:J56,2,0)</f>
        <v>0</v>
      </c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166">
        <f t="shared" si="0"/>
        <v>0</v>
      </c>
      <c r="O28" s="19"/>
      <c r="Q28" s="30">
        <f t="shared" si="1"/>
        <v>0</v>
      </c>
    </row>
    <row r="30" spans="1:17" ht="18" customHeight="1" x14ac:dyDescent="0.2">
      <c r="K30" s="25" t="str">
        <f>'Data '!H38</f>
        <v>Tambak Jaya,                   September 2025</v>
      </c>
    </row>
    <row r="31" spans="1:17" ht="18" customHeight="1" x14ac:dyDescent="0.2">
      <c r="K31" s="25" t="s">
        <v>10</v>
      </c>
    </row>
    <row r="34" spans="1:15" ht="18" customHeight="1" x14ac:dyDescent="0.2">
      <c r="K34" s="25" t="s">
        <v>11</v>
      </c>
    </row>
    <row r="46" spans="1:15" ht="18" customHeight="1" x14ac:dyDescent="0.2">
      <c r="A46" s="144" t="s">
        <v>0</v>
      </c>
      <c r="B46" s="144"/>
      <c r="C46" s="144"/>
      <c r="D46" s="144"/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/>
    </row>
    <row r="47" spans="1:15" ht="18" customHeight="1" x14ac:dyDescent="0.2">
      <c r="A47" s="144" t="s">
        <v>12</v>
      </c>
      <c r="B47" s="144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</row>
    <row r="48" spans="1:15" ht="18" customHeight="1" x14ac:dyDescent="0.25">
      <c r="C48" s="26"/>
      <c r="D48" s="26"/>
      <c r="E48" s="26"/>
      <c r="F48" s="26"/>
      <c r="G48" s="26"/>
      <c r="H48" s="26"/>
      <c r="I48" s="26"/>
      <c r="J48" s="26"/>
      <c r="K48" s="26"/>
      <c r="L48" s="27" t="s">
        <v>13</v>
      </c>
      <c r="N48" s="31" t="s">
        <v>15</v>
      </c>
      <c r="O48" s="26"/>
    </row>
    <row r="50" spans="1:27" ht="18" customHeight="1" x14ac:dyDescent="0.2">
      <c r="A50" s="142" t="s">
        <v>1</v>
      </c>
      <c r="B50" s="142" t="s">
        <v>2</v>
      </c>
      <c r="C50" s="142" t="s">
        <v>3</v>
      </c>
      <c r="D50" s="142" t="s">
        <v>35</v>
      </c>
      <c r="E50" s="142"/>
      <c r="F50" s="142"/>
      <c r="G50" s="142"/>
      <c r="H50" s="142"/>
      <c r="I50" s="142"/>
      <c r="J50" s="142"/>
      <c r="K50" s="142"/>
      <c r="L50" s="142"/>
      <c r="M50" s="142"/>
      <c r="N50" s="143" t="s">
        <v>7</v>
      </c>
      <c r="O50" s="142" t="s">
        <v>8</v>
      </c>
      <c r="Q50" s="32"/>
      <c r="R50" s="32"/>
      <c r="S50" s="32"/>
      <c r="T50" s="32"/>
      <c r="U50" s="32"/>
      <c r="V50" s="33"/>
      <c r="W50" s="33"/>
      <c r="X50" s="33"/>
      <c r="Y50" s="33"/>
      <c r="Z50" s="33"/>
      <c r="AA50" s="33"/>
    </row>
    <row r="51" spans="1:27" ht="18" customHeight="1" x14ac:dyDescent="0.2">
      <c r="A51" s="142"/>
      <c r="B51" s="142"/>
      <c r="C51" s="142"/>
      <c r="D51" s="142"/>
      <c r="E51" s="142"/>
      <c r="F51" s="142"/>
      <c r="G51" s="142"/>
      <c r="H51" s="142"/>
      <c r="I51" s="142"/>
      <c r="J51" s="142"/>
      <c r="K51" s="142"/>
      <c r="L51" s="142"/>
      <c r="M51" s="142"/>
      <c r="N51" s="143"/>
      <c r="O51" s="142"/>
      <c r="Q51" s="32"/>
      <c r="R51" s="32"/>
      <c r="S51" s="32"/>
      <c r="T51" s="32"/>
      <c r="U51" s="32"/>
      <c r="V51" s="33"/>
      <c r="W51" s="33"/>
      <c r="X51" s="33"/>
      <c r="Y51" s="33"/>
      <c r="Z51" s="33"/>
      <c r="AA51" s="33"/>
    </row>
    <row r="52" spans="1:27" ht="18" customHeight="1" x14ac:dyDescent="0.2">
      <c r="A52" s="142"/>
      <c r="B52" s="142"/>
      <c r="C52" s="142"/>
      <c r="D52" s="29">
        <v>1</v>
      </c>
      <c r="E52" s="29">
        <v>2</v>
      </c>
      <c r="F52" s="29">
        <v>3</v>
      </c>
      <c r="G52" s="29">
        <v>4</v>
      </c>
      <c r="H52" s="29">
        <v>5</v>
      </c>
      <c r="I52" s="29">
        <v>6</v>
      </c>
      <c r="J52" s="29">
        <v>7</v>
      </c>
      <c r="K52" s="29">
        <v>8</v>
      </c>
      <c r="L52" s="29">
        <v>9</v>
      </c>
      <c r="M52" s="29">
        <v>10</v>
      </c>
      <c r="N52" s="143"/>
      <c r="O52" s="142"/>
      <c r="Q52" s="32"/>
      <c r="R52" s="32"/>
      <c r="S52" s="32"/>
      <c r="T52" s="32"/>
      <c r="U52" s="32"/>
      <c r="V52" s="33"/>
      <c r="W52" s="33"/>
      <c r="X52" s="33"/>
      <c r="Y52" s="33"/>
      <c r="Z52" s="33"/>
      <c r="AA52" s="33"/>
    </row>
    <row r="53" spans="1:27" ht="18" customHeight="1" x14ac:dyDescent="0.25">
      <c r="A53" s="29">
        <v>1</v>
      </c>
      <c r="B53" s="99" t="s">
        <v>178</v>
      </c>
      <c r="C53" s="30" t="s">
        <v>174</v>
      </c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19"/>
      <c r="Q53" s="30">
        <f>SUM(D53:M53)</f>
        <v>0</v>
      </c>
    </row>
    <row r="54" spans="1:27" ht="18" customHeight="1" x14ac:dyDescent="0.25">
      <c r="A54" s="29">
        <v>2</v>
      </c>
      <c r="B54" s="99" t="s">
        <v>177</v>
      </c>
      <c r="C54" s="30" t="s">
        <v>174</v>
      </c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19"/>
      <c r="Q54" s="30">
        <f t="shared" ref="Q54:Q73" si="2">SUM(D54:M54)</f>
        <v>0</v>
      </c>
    </row>
    <row r="55" spans="1:27" ht="18" customHeight="1" x14ac:dyDescent="0.25">
      <c r="A55" s="29">
        <v>3</v>
      </c>
      <c r="B55" s="99" t="s">
        <v>184</v>
      </c>
      <c r="C55" s="30" t="s">
        <v>174</v>
      </c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19"/>
      <c r="Q55" s="30">
        <f t="shared" si="2"/>
        <v>0</v>
      </c>
    </row>
    <row r="56" spans="1:27" ht="18" customHeight="1" x14ac:dyDescent="0.25">
      <c r="A56" s="29">
        <v>4</v>
      </c>
      <c r="B56" s="99" t="s">
        <v>179</v>
      </c>
      <c r="C56" s="30" t="s">
        <v>174</v>
      </c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19"/>
      <c r="Q56" s="30">
        <f t="shared" si="2"/>
        <v>0</v>
      </c>
    </row>
    <row r="57" spans="1:27" ht="18" customHeight="1" x14ac:dyDescent="0.25">
      <c r="A57" s="29">
        <v>5</v>
      </c>
      <c r="B57" s="99" t="s">
        <v>180</v>
      </c>
      <c r="C57" s="30" t="s">
        <v>174</v>
      </c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19"/>
      <c r="Q57" s="30">
        <f t="shared" si="2"/>
        <v>0</v>
      </c>
    </row>
    <row r="58" spans="1:27" ht="18" customHeight="1" x14ac:dyDescent="0.25">
      <c r="A58" s="29">
        <v>6</v>
      </c>
      <c r="B58" s="99" t="s">
        <v>182</v>
      </c>
      <c r="C58" s="30" t="s">
        <v>174</v>
      </c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19"/>
      <c r="Q58" s="30">
        <f t="shared" si="2"/>
        <v>0</v>
      </c>
    </row>
    <row r="59" spans="1:27" ht="18" customHeight="1" x14ac:dyDescent="0.25">
      <c r="A59" s="29">
        <v>7</v>
      </c>
      <c r="B59" s="99" t="s">
        <v>181</v>
      </c>
      <c r="C59" s="30" t="s">
        <v>174</v>
      </c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19"/>
      <c r="Q59" s="30">
        <f t="shared" si="2"/>
        <v>0</v>
      </c>
    </row>
    <row r="60" spans="1:27" ht="18" customHeight="1" x14ac:dyDescent="0.25">
      <c r="A60" s="29">
        <v>8</v>
      </c>
      <c r="B60" s="99" t="s">
        <v>183</v>
      </c>
      <c r="C60" s="30" t="s">
        <v>174</v>
      </c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19"/>
      <c r="Q60" s="30">
        <f t="shared" si="2"/>
        <v>0</v>
      </c>
    </row>
    <row r="61" spans="1:27" ht="18" customHeight="1" x14ac:dyDescent="0.25">
      <c r="A61" s="29">
        <v>9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19"/>
      <c r="Q61" s="30">
        <f t="shared" si="2"/>
        <v>0</v>
      </c>
    </row>
    <row r="62" spans="1:27" ht="18" customHeight="1" x14ac:dyDescent="0.25">
      <c r="A62" s="29">
        <v>10</v>
      </c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19"/>
      <c r="Q62" s="30">
        <f t="shared" si="2"/>
        <v>0</v>
      </c>
    </row>
    <row r="63" spans="1:27" ht="18" customHeight="1" x14ac:dyDescent="0.25">
      <c r="A63" s="29">
        <v>11</v>
      </c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19"/>
      <c r="Q63" s="30">
        <f t="shared" si="2"/>
        <v>0</v>
      </c>
    </row>
    <row r="64" spans="1:27" ht="18" customHeight="1" x14ac:dyDescent="0.25">
      <c r="A64" s="29">
        <v>12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19"/>
      <c r="Q64" s="30">
        <f t="shared" si="2"/>
        <v>0</v>
      </c>
    </row>
    <row r="65" spans="1:17" ht="18" customHeight="1" x14ac:dyDescent="0.25">
      <c r="A65" s="29">
        <v>13</v>
      </c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19"/>
      <c r="Q65" s="30">
        <f t="shared" si="2"/>
        <v>0</v>
      </c>
    </row>
    <row r="66" spans="1:17" ht="18" customHeight="1" x14ac:dyDescent="0.25">
      <c r="A66" s="29">
        <v>14</v>
      </c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19"/>
      <c r="Q66" s="30">
        <f t="shared" si="2"/>
        <v>0</v>
      </c>
    </row>
    <row r="67" spans="1:17" ht="18" customHeight="1" x14ac:dyDescent="0.25">
      <c r="A67" s="29">
        <v>15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19"/>
      <c r="Q67" s="30">
        <f t="shared" si="2"/>
        <v>0</v>
      </c>
    </row>
    <row r="68" spans="1:17" ht="18" customHeight="1" x14ac:dyDescent="0.25">
      <c r="A68" s="29">
        <v>16</v>
      </c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19"/>
      <c r="Q68" s="30">
        <f t="shared" si="2"/>
        <v>0</v>
      </c>
    </row>
    <row r="69" spans="1:17" ht="18" customHeight="1" x14ac:dyDescent="0.25">
      <c r="A69" s="29">
        <v>17</v>
      </c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19"/>
      <c r="Q69" s="30">
        <f t="shared" si="2"/>
        <v>0</v>
      </c>
    </row>
    <row r="70" spans="1:17" ht="18" customHeight="1" x14ac:dyDescent="0.25">
      <c r="A70" s="29">
        <v>18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19"/>
      <c r="Q70" s="30">
        <f t="shared" si="2"/>
        <v>0</v>
      </c>
    </row>
    <row r="71" spans="1:17" ht="18" customHeight="1" x14ac:dyDescent="0.25">
      <c r="A71" s="29">
        <v>19</v>
      </c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19"/>
      <c r="Q71" s="30">
        <f t="shared" si="2"/>
        <v>0</v>
      </c>
    </row>
    <row r="72" spans="1:17" ht="18" customHeight="1" x14ac:dyDescent="0.25">
      <c r="A72" s="29">
        <v>20</v>
      </c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19"/>
      <c r="Q72" s="30">
        <f t="shared" si="2"/>
        <v>0</v>
      </c>
    </row>
    <row r="73" spans="1:17" ht="18" customHeight="1" x14ac:dyDescent="0.25">
      <c r="A73" s="29">
        <v>21</v>
      </c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19"/>
      <c r="Q73" s="30">
        <f t="shared" si="2"/>
        <v>0</v>
      </c>
    </row>
    <row r="75" spans="1:17" ht="18" customHeight="1" x14ac:dyDescent="0.2">
      <c r="J75" s="25" t="str">
        <f>'Data '!H38</f>
        <v>Tambak Jaya,                   September 2025</v>
      </c>
    </row>
    <row r="76" spans="1:17" ht="18" customHeight="1" x14ac:dyDescent="0.2">
      <c r="J76" s="25" t="s">
        <v>10</v>
      </c>
    </row>
    <row r="79" spans="1:17" ht="18" customHeight="1" x14ac:dyDescent="0.2">
      <c r="J79" s="25" t="s">
        <v>11</v>
      </c>
    </row>
    <row r="91" spans="1:21" ht="18" customHeight="1" x14ac:dyDescent="0.25">
      <c r="A91" s="141" t="s">
        <v>0</v>
      </c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</row>
    <row r="92" spans="1:21" ht="18" customHeight="1" x14ac:dyDescent="0.25">
      <c r="A92" s="141" t="s">
        <v>12</v>
      </c>
      <c r="B92" s="141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</row>
    <row r="93" spans="1:21" ht="18" customHeight="1" x14ac:dyDescent="0.25">
      <c r="C93" s="26"/>
      <c r="D93" s="26"/>
      <c r="E93" s="26"/>
      <c r="F93" s="26"/>
      <c r="G93" s="26"/>
      <c r="H93" s="26"/>
      <c r="I93" s="26"/>
      <c r="J93" s="26"/>
      <c r="K93" s="26"/>
      <c r="L93" s="27" t="s">
        <v>13</v>
      </c>
      <c r="N93" s="25" t="s">
        <v>130</v>
      </c>
      <c r="O93" s="26"/>
    </row>
    <row r="95" spans="1:21" ht="18" customHeight="1" x14ac:dyDescent="0.2">
      <c r="A95" s="142" t="s">
        <v>1</v>
      </c>
      <c r="B95" s="142" t="s">
        <v>2</v>
      </c>
      <c r="C95" s="142" t="s">
        <v>3</v>
      </c>
      <c r="D95" s="142" t="s">
        <v>4</v>
      </c>
      <c r="E95" s="142"/>
      <c r="F95" s="142"/>
      <c r="G95" s="142"/>
      <c r="H95" s="142"/>
      <c r="I95" s="142"/>
      <c r="J95" s="142"/>
      <c r="K95" s="142"/>
      <c r="L95" s="142"/>
      <c r="M95" s="142"/>
      <c r="N95" s="143" t="s">
        <v>7</v>
      </c>
      <c r="O95" s="142" t="s">
        <v>8</v>
      </c>
      <c r="Q95" s="28"/>
      <c r="R95" s="28"/>
      <c r="S95" s="28"/>
      <c r="T95" s="28"/>
      <c r="U95" s="28"/>
    </row>
    <row r="96" spans="1:21" ht="18" customHeight="1" x14ac:dyDescent="0.2">
      <c r="A96" s="142"/>
      <c r="B96" s="142"/>
      <c r="C96" s="142"/>
      <c r="D96" s="142"/>
      <c r="E96" s="142"/>
      <c r="F96" s="142"/>
      <c r="G96" s="142"/>
      <c r="H96" s="142"/>
      <c r="I96" s="142"/>
      <c r="J96" s="142"/>
      <c r="K96" s="142"/>
      <c r="L96" s="142"/>
      <c r="M96" s="142"/>
      <c r="N96" s="143"/>
      <c r="O96" s="142"/>
      <c r="Q96" s="28"/>
      <c r="R96" s="28"/>
      <c r="S96" s="28"/>
      <c r="T96" s="28"/>
      <c r="U96" s="28"/>
    </row>
    <row r="97" spans="1:21" ht="18" customHeight="1" x14ac:dyDescent="0.2">
      <c r="A97" s="142"/>
      <c r="B97" s="142"/>
      <c r="C97" s="142"/>
      <c r="D97" s="29">
        <v>1</v>
      </c>
      <c r="E97" s="29">
        <v>2</v>
      </c>
      <c r="F97" s="29">
        <v>3</v>
      </c>
      <c r="G97" s="29">
        <v>4</v>
      </c>
      <c r="H97" s="29">
        <v>5</v>
      </c>
      <c r="I97" s="29">
        <v>6</v>
      </c>
      <c r="J97" s="29">
        <v>7</v>
      </c>
      <c r="K97" s="29">
        <v>8</v>
      </c>
      <c r="L97" s="29">
        <v>9</v>
      </c>
      <c r="M97" s="29">
        <v>10</v>
      </c>
      <c r="N97" s="143"/>
      <c r="O97" s="142"/>
      <c r="Q97" s="28"/>
      <c r="R97" s="28"/>
      <c r="S97" s="28"/>
      <c r="T97" s="28"/>
      <c r="U97" s="28"/>
    </row>
    <row r="98" spans="1:21" ht="18" customHeight="1" x14ac:dyDescent="0.25">
      <c r="A98" s="29">
        <v>1</v>
      </c>
      <c r="B98" s="30" t="str">
        <f t="shared" ref="B98:B105" si="3">B53</f>
        <v>Ahmad Habiburrahman</v>
      </c>
      <c r="C98" s="30" t="s">
        <v>174</v>
      </c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65"/>
      <c r="O98" s="19"/>
      <c r="S98" s="30">
        <f>SUM(D98:M98)</f>
        <v>0</v>
      </c>
    </row>
    <row r="99" spans="1:21" ht="18" customHeight="1" x14ac:dyDescent="0.25">
      <c r="A99" s="29">
        <v>2</v>
      </c>
      <c r="B99" s="30" t="str">
        <f t="shared" si="3"/>
        <v>Aulia Zahra El Fikri</v>
      </c>
      <c r="C99" s="30" t="s">
        <v>174</v>
      </c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65"/>
      <c r="O99" s="19"/>
      <c r="S99" s="30">
        <f t="shared" ref="S99:S118" si="4">SUM(D99:M99)</f>
        <v>0</v>
      </c>
    </row>
    <row r="100" spans="1:21" ht="18" customHeight="1" x14ac:dyDescent="0.25">
      <c r="A100" s="29">
        <v>3</v>
      </c>
      <c r="B100" s="30" t="str">
        <f t="shared" si="3"/>
        <v>Nur Habibi</v>
      </c>
      <c r="C100" s="30" t="s">
        <v>174</v>
      </c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65"/>
      <c r="O100" s="19"/>
      <c r="S100" s="30">
        <f t="shared" si="4"/>
        <v>0</v>
      </c>
    </row>
    <row r="101" spans="1:21" ht="18" customHeight="1" x14ac:dyDescent="0.25">
      <c r="A101" s="29">
        <v>4</v>
      </c>
      <c r="B101" s="30" t="str">
        <f t="shared" si="3"/>
        <v>M. Fatan Azzamy Isma'il</v>
      </c>
      <c r="C101" s="30" t="s">
        <v>174</v>
      </c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65"/>
      <c r="O101" s="19"/>
      <c r="S101" s="30">
        <f t="shared" si="4"/>
        <v>0</v>
      </c>
    </row>
    <row r="102" spans="1:21" ht="18" customHeight="1" x14ac:dyDescent="0.25">
      <c r="A102" s="29">
        <v>5</v>
      </c>
      <c r="B102" s="30" t="str">
        <f t="shared" si="3"/>
        <v>M. Mahi Mutawakkil</v>
      </c>
      <c r="C102" s="30" t="s">
        <v>174</v>
      </c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65"/>
      <c r="O102" s="19"/>
      <c r="S102" s="30">
        <f t="shared" si="4"/>
        <v>0</v>
      </c>
    </row>
    <row r="103" spans="1:21" ht="18" customHeight="1" x14ac:dyDescent="0.25">
      <c r="A103" s="29">
        <v>6</v>
      </c>
      <c r="B103" s="30" t="str">
        <f t="shared" si="3"/>
        <v>Muhammad Rozikin</v>
      </c>
      <c r="C103" s="30" t="s">
        <v>174</v>
      </c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65"/>
      <c r="O103" s="19"/>
      <c r="S103" s="30">
        <f t="shared" si="4"/>
        <v>0</v>
      </c>
    </row>
    <row r="104" spans="1:21" ht="18" customHeight="1" x14ac:dyDescent="0.25">
      <c r="A104" s="29">
        <v>7</v>
      </c>
      <c r="B104" s="30" t="str">
        <f t="shared" si="3"/>
        <v>Renoval Faiz Al Ghifari</v>
      </c>
      <c r="C104" s="30" t="s">
        <v>174</v>
      </c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65"/>
      <c r="O104" s="19"/>
      <c r="S104" s="30">
        <f t="shared" si="4"/>
        <v>0</v>
      </c>
    </row>
    <row r="105" spans="1:21" ht="18" customHeight="1" x14ac:dyDescent="0.25">
      <c r="A105" s="29">
        <v>8</v>
      </c>
      <c r="B105" s="30" t="str">
        <f t="shared" si="3"/>
        <v>Sindi Wulandari</v>
      </c>
      <c r="C105" s="30" t="s">
        <v>174</v>
      </c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65"/>
      <c r="O105" s="19"/>
      <c r="S105" s="30">
        <f t="shared" si="4"/>
        <v>0</v>
      </c>
    </row>
    <row r="106" spans="1:21" ht="18" customHeight="1" x14ac:dyDescent="0.25">
      <c r="A106" s="29">
        <v>9</v>
      </c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65"/>
      <c r="O106" s="19"/>
      <c r="S106" s="30">
        <f t="shared" si="4"/>
        <v>0</v>
      </c>
    </row>
    <row r="107" spans="1:21" ht="18" customHeight="1" x14ac:dyDescent="0.25">
      <c r="A107" s="29">
        <v>10</v>
      </c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65"/>
      <c r="O107" s="19"/>
      <c r="S107" s="30">
        <f t="shared" si="4"/>
        <v>0</v>
      </c>
    </row>
    <row r="108" spans="1:21" ht="18" customHeight="1" x14ac:dyDescent="0.25">
      <c r="A108" s="29">
        <v>11</v>
      </c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65"/>
      <c r="O108" s="19"/>
      <c r="S108" s="30">
        <f t="shared" si="4"/>
        <v>0</v>
      </c>
    </row>
    <row r="109" spans="1:21" ht="18" customHeight="1" x14ac:dyDescent="0.25">
      <c r="A109" s="29">
        <v>12</v>
      </c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65"/>
      <c r="O109" s="19"/>
      <c r="S109" s="30">
        <f t="shared" si="4"/>
        <v>0</v>
      </c>
    </row>
    <row r="110" spans="1:21" ht="18" customHeight="1" x14ac:dyDescent="0.25">
      <c r="A110" s="29">
        <v>13</v>
      </c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65"/>
      <c r="O110" s="19"/>
      <c r="S110" s="30">
        <f t="shared" si="4"/>
        <v>0</v>
      </c>
    </row>
    <row r="111" spans="1:21" ht="18" customHeight="1" x14ac:dyDescent="0.25">
      <c r="A111" s="29">
        <v>14</v>
      </c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65"/>
      <c r="O111" s="19"/>
      <c r="S111" s="30">
        <f t="shared" si="4"/>
        <v>0</v>
      </c>
    </row>
    <row r="112" spans="1:21" ht="18" customHeight="1" x14ac:dyDescent="0.25">
      <c r="A112" s="29">
        <v>15</v>
      </c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65"/>
      <c r="O112" s="19"/>
      <c r="S112" s="30">
        <f t="shared" si="4"/>
        <v>0</v>
      </c>
    </row>
    <row r="113" spans="1:19" ht="18" customHeight="1" x14ac:dyDescent="0.25">
      <c r="A113" s="29">
        <v>16</v>
      </c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65"/>
      <c r="O113" s="19"/>
      <c r="S113" s="30">
        <f t="shared" si="4"/>
        <v>0</v>
      </c>
    </row>
    <row r="114" spans="1:19" ht="18" customHeight="1" x14ac:dyDescent="0.25">
      <c r="A114" s="29">
        <v>17</v>
      </c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65"/>
      <c r="O114" s="19"/>
      <c r="S114" s="90">
        <f t="shared" si="4"/>
        <v>0</v>
      </c>
    </row>
    <row r="115" spans="1:19" ht="18" customHeight="1" x14ac:dyDescent="0.25">
      <c r="A115" s="29">
        <v>18</v>
      </c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65"/>
      <c r="O115" s="19"/>
      <c r="S115" s="30">
        <f t="shared" si="4"/>
        <v>0</v>
      </c>
    </row>
    <row r="116" spans="1:19" ht="18" customHeight="1" x14ac:dyDescent="0.25">
      <c r="A116" s="29">
        <v>19</v>
      </c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65"/>
      <c r="O116" s="19"/>
      <c r="S116" s="30">
        <f t="shared" si="4"/>
        <v>0</v>
      </c>
    </row>
    <row r="117" spans="1:19" ht="18" customHeight="1" x14ac:dyDescent="0.25">
      <c r="A117" s="29">
        <v>20</v>
      </c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65"/>
      <c r="O117" s="19"/>
      <c r="S117" s="30">
        <f t="shared" si="4"/>
        <v>0</v>
      </c>
    </row>
    <row r="118" spans="1:19" ht="18" customHeight="1" x14ac:dyDescent="0.25">
      <c r="A118" s="29">
        <v>21</v>
      </c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65"/>
      <c r="O118" s="19"/>
      <c r="S118" s="30">
        <f t="shared" si="4"/>
        <v>0</v>
      </c>
    </row>
    <row r="120" spans="1:19" ht="18" customHeight="1" x14ac:dyDescent="0.2">
      <c r="K120" s="25" t="str">
        <f>'Data '!H38</f>
        <v>Tambak Jaya,                   September 2025</v>
      </c>
    </row>
    <row r="121" spans="1:19" ht="18" customHeight="1" x14ac:dyDescent="0.2">
      <c r="K121" s="25" t="s">
        <v>10</v>
      </c>
    </row>
    <row r="124" spans="1:19" ht="18" customHeight="1" x14ac:dyDescent="0.2">
      <c r="K124" s="25" t="s">
        <v>11</v>
      </c>
    </row>
  </sheetData>
  <mergeCells count="28">
    <mergeCell ref="A91:O91"/>
    <mergeCell ref="A92:O92"/>
    <mergeCell ref="A95:A97"/>
    <mergeCell ref="B95:B97"/>
    <mergeCell ref="C95:C97"/>
    <mergeCell ref="D95:M95"/>
    <mergeCell ref="N95:N97"/>
    <mergeCell ref="O95:O97"/>
    <mergeCell ref="D96:M96"/>
    <mergeCell ref="A46:O46"/>
    <mergeCell ref="A47:O47"/>
    <mergeCell ref="A50:A52"/>
    <mergeCell ref="B50:B52"/>
    <mergeCell ref="C50:C52"/>
    <mergeCell ref="D50:M50"/>
    <mergeCell ref="N50:N52"/>
    <mergeCell ref="O50:O52"/>
    <mergeCell ref="D51:M51"/>
    <mergeCell ref="A1:O1"/>
    <mergeCell ref="A2:O2"/>
    <mergeCell ref="A5:A7"/>
    <mergeCell ref="B5:B7"/>
    <mergeCell ref="C5:C7"/>
    <mergeCell ref="D5:M5"/>
    <mergeCell ref="N5:N7"/>
    <mergeCell ref="O5:O7"/>
    <mergeCell ref="D6:H6"/>
    <mergeCell ref="I6:M6"/>
  </mergeCells>
  <conditionalFormatting sqref="O8:O28">
    <cfRule type="cellIs" dxfId="45" priority="1" operator="equal">
      <formula>"TIDAK$8:$8 LULUS"</formula>
    </cfRule>
    <cfRule type="cellIs" dxfId="44" priority="2" operator="equal">
      <formula>"LULUS"</formula>
    </cfRule>
    <cfRule type="cellIs" dxfId="43" priority="3" operator="between">
      <formula>"LULUS"</formula>
      <formula>"TIDAK$8:$8 LULUS"</formula>
    </cfRule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{E9AB5FC6-44E2-495D-8C51-A993C6C61C45}</x14:id>
        </ext>
      </extLst>
    </cfRule>
  </conditionalFormatting>
  <conditionalFormatting sqref="O53:O73">
    <cfRule type="cellIs" dxfId="42" priority="5" operator="equal">
      <formula>"TIDAK$8:$8 LULUS"</formula>
    </cfRule>
    <cfRule type="cellIs" dxfId="41" priority="6" operator="equal">
      <formula>"LULUS"</formula>
    </cfRule>
    <cfRule type="cellIs" dxfId="40" priority="7" operator="between">
      <formula>"LULUS"</formula>
      <formula>"TIDAK$8:$8 LULUS"</formula>
    </cfRule>
    <cfRule type="dataBar" priority="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{41CA4807-8990-4C70-AEB2-FAD81669D7C6}</x14:id>
        </ext>
      </extLst>
    </cfRule>
  </conditionalFormatting>
  <conditionalFormatting sqref="O98:O118">
    <cfRule type="cellIs" dxfId="39" priority="9" operator="equal">
      <formula>"TIDAK$8:$8 LULUS"</formula>
    </cfRule>
    <cfRule type="cellIs" dxfId="38" priority="10" operator="equal">
      <formula>"LULUS"</formula>
    </cfRule>
    <cfRule type="cellIs" dxfId="37" priority="11" operator="between">
      <formula>"LULUS"</formula>
      <formula>"TIDAK$8:$8 LULUS"</formula>
    </cfRule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{CBB7A09A-0379-464E-A774-D8250428E758}</x14:id>
        </ext>
      </extLst>
    </cfRule>
  </conditionalFormatting>
  <pageMargins left="0.7" right="0.7" top="0.75" bottom="0.75" header="0.3" footer="0.3"/>
  <pageSetup paperSize="9" scale="21" orientation="landscape" horizontalDpi="4294967293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9AB5FC6-44E2-495D-8C51-A993C6C61C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O8:O28</xm:sqref>
        </x14:conditionalFormatting>
        <x14:conditionalFormatting xmlns:xm="http://schemas.microsoft.com/office/excel/2006/main">
          <x14:cfRule type="dataBar" id="{41CA4807-8990-4C70-AEB2-FAD81669D7C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O53:O73</xm:sqref>
        </x14:conditionalFormatting>
        <x14:conditionalFormatting xmlns:xm="http://schemas.microsoft.com/office/excel/2006/main">
          <x14:cfRule type="dataBar" id="{CBB7A09A-0379-464E-A774-D8250428E7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O98:O118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A124"/>
  <sheetViews>
    <sheetView view="pageBreakPreview" zoomScale="60" workbookViewId="0">
      <selection activeCell="N8" sqref="N8:N28"/>
    </sheetView>
  </sheetViews>
  <sheetFormatPr defaultRowHeight="18" customHeight="1" x14ac:dyDescent="0.2"/>
  <cols>
    <col min="1" max="1" width="5.7109375" style="25" customWidth="1"/>
    <col min="2" max="2" width="29.5703125" style="25" customWidth="1"/>
    <col min="3" max="3" width="21.7109375" style="25" customWidth="1"/>
    <col min="4" max="13" width="6.7109375" style="25" customWidth="1"/>
    <col min="14" max="14" width="8.7109375" style="25" customWidth="1"/>
    <col min="15" max="15" width="30" style="25" customWidth="1"/>
    <col min="16" max="16" width="6.42578125" style="25" customWidth="1"/>
    <col min="17" max="17" width="9.140625" style="25"/>
    <col min="18" max="18" width="3.42578125" style="25" customWidth="1"/>
    <col min="19" max="19" width="9.85546875" style="25" customWidth="1"/>
    <col min="20" max="27" width="4.7109375" style="25" customWidth="1"/>
    <col min="28" max="16384" width="9.140625" style="25"/>
  </cols>
  <sheetData>
    <row r="1" spans="1:21" ht="18" customHeight="1" x14ac:dyDescent="0.2">
      <c r="A1" s="144" t="s">
        <v>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</row>
    <row r="2" spans="1:21" ht="18" customHeight="1" x14ac:dyDescent="0.2">
      <c r="A2" s="144" t="s">
        <v>12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</row>
    <row r="3" spans="1:21" ht="18" customHeight="1" x14ac:dyDescent="0.25">
      <c r="C3" s="26"/>
      <c r="D3" s="26"/>
      <c r="E3" s="26"/>
      <c r="F3" s="26"/>
      <c r="G3" s="26"/>
      <c r="H3" s="26"/>
      <c r="I3" s="26"/>
      <c r="J3" s="26"/>
      <c r="K3" s="26"/>
      <c r="L3" s="27" t="s">
        <v>13</v>
      </c>
      <c r="N3" s="25" t="s">
        <v>14</v>
      </c>
      <c r="O3" s="26"/>
    </row>
    <row r="5" spans="1:21" ht="18" customHeight="1" x14ac:dyDescent="0.2">
      <c r="A5" s="142" t="s">
        <v>1</v>
      </c>
      <c r="B5" s="142" t="s">
        <v>2</v>
      </c>
      <c r="C5" s="142" t="s">
        <v>3</v>
      </c>
      <c r="D5" s="142" t="s">
        <v>4</v>
      </c>
      <c r="E5" s="142"/>
      <c r="F5" s="142"/>
      <c r="G5" s="142"/>
      <c r="H5" s="142"/>
      <c r="I5" s="142"/>
      <c r="J5" s="142"/>
      <c r="K5" s="142"/>
      <c r="L5" s="142"/>
      <c r="M5" s="142"/>
      <c r="N5" s="143" t="s">
        <v>7</v>
      </c>
      <c r="O5" s="142" t="s">
        <v>8</v>
      </c>
      <c r="Q5" s="28"/>
      <c r="R5" s="28"/>
      <c r="S5" s="28"/>
      <c r="T5" s="28"/>
      <c r="U5" s="28"/>
    </row>
    <row r="6" spans="1:21" ht="18" customHeight="1" x14ac:dyDescent="0.2">
      <c r="A6" s="142"/>
      <c r="B6" s="142"/>
      <c r="C6" s="142"/>
      <c r="D6" s="142" t="s">
        <v>5</v>
      </c>
      <c r="E6" s="142"/>
      <c r="F6" s="142"/>
      <c r="G6" s="142"/>
      <c r="H6" s="142"/>
      <c r="I6" s="142" t="s">
        <v>6</v>
      </c>
      <c r="J6" s="142"/>
      <c r="K6" s="142"/>
      <c r="L6" s="142"/>
      <c r="M6" s="142"/>
      <c r="N6" s="143"/>
      <c r="O6" s="142"/>
      <c r="Q6" s="28"/>
      <c r="R6" s="28"/>
      <c r="S6" s="28"/>
      <c r="T6" s="28"/>
      <c r="U6" s="28"/>
    </row>
    <row r="7" spans="1:21" ht="18" customHeight="1" x14ac:dyDescent="0.2">
      <c r="A7" s="142"/>
      <c r="B7" s="142"/>
      <c r="C7" s="142"/>
      <c r="D7" s="29">
        <v>1</v>
      </c>
      <c r="E7" s="29">
        <v>2</v>
      </c>
      <c r="F7" s="29">
        <v>3</v>
      </c>
      <c r="G7" s="29">
        <v>4</v>
      </c>
      <c r="H7" s="29">
        <v>5</v>
      </c>
      <c r="I7" s="29">
        <v>1</v>
      </c>
      <c r="J7" s="29">
        <v>2</v>
      </c>
      <c r="K7" s="29">
        <v>3</v>
      </c>
      <c r="L7" s="29">
        <v>4</v>
      </c>
      <c r="M7" s="29">
        <v>5</v>
      </c>
      <c r="N7" s="143"/>
      <c r="O7" s="142"/>
      <c r="Q7" s="28"/>
      <c r="R7" s="28"/>
      <c r="S7" s="28"/>
      <c r="T7" s="28"/>
      <c r="U7" s="28"/>
    </row>
    <row r="8" spans="1:21" ht="18" customHeight="1" x14ac:dyDescent="0.25">
      <c r="A8" s="29">
        <v>1</v>
      </c>
      <c r="B8" s="166" t="str">
        <f>VLOOKUP(A8,'Data '!A2:J36,3,0)</f>
        <v>Ahmad Alhabib Ramadhan</v>
      </c>
      <c r="C8" s="166" t="str">
        <f>VLOOKUP(A8,'Data '!A2:J36,2,0)</f>
        <v>Utsmaniyyah III</v>
      </c>
      <c r="D8" s="30"/>
      <c r="E8" s="30"/>
      <c r="F8" s="30"/>
      <c r="G8" s="30"/>
      <c r="H8" s="30"/>
      <c r="I8" s="30"/>
      <c r="J8" s="30"/>
      <c r="K8" s="30"/>
      <c r="L8" s="30"/>
      <c r="M8" s="30"/>
      <c r="N8" s="30">
        <f>SUM(D8:M8)</f>
        <v>0</v>
      </c>
      <c r="O8" s="19"/>
      <c r="Q8" s="30">
        <f>SUM(D8:M8)</f>
        <v>0</v>
      </c>
    </row>
    <row r="9" spans="1:21" ht="18" customHeight="1" x14ac:dyDescent="0.25">
      <c r="A9" s="29">
        <v>2</v>
      </c>
      <c r="B9" s="166" t="str">
        <f>VLOOKUP(A9,'Data '!A3:J37,3,0)</f>
        <v>Aulia Zahra El Fikri</v>
      </c>
      <c r="C9" s="166" t="str">
        <f>VLOOKUP(A9,'Data '!A3:J37,2,0)</f>
        <v>Utsmaniyyah III</v>
      </c>
      <c r="D9" s="30"/>
      <c r="E9" s="30"/>
      <c r="F9" s="30"/>
      <c r="G9" s="30"/>
      <c r="H9" s="30"/>
      <c r="I9" s="30"/>
      <c r="J9" s="30"/>
      <c r="K9" s="30"/>
      <c r="L9" s="30"/>
      <c r="M9" s="30"/>
      <c r="N9" s="30">
        <f t="shared" ref="N9:N28" si="0">SUM(D9:M9)</f>
        <v>0</v>
      </c>
      <c r="O9" s="19"/>
      <c r="Q9" s="30">
        <f t="shared" ref="Q9:Q28" si="1">SUM(D9:M9)</f>
        <v>0</v>
      </c>
    </row>
    <row r="10" spans="1:21" ht="18" customHeight="1" x14ac:dyDescent="0.25">
      <c r="A10" s="29">
        <v>3</v>
      </c>
      <c r="B10" s="166" t="str">
        <f>VLOOKUP(A10,'Data '!A4:J38,3,0)</f>
        <v>Nur Habibi</v>
      </c>
      <c r="C10" s="166" t="str">
        <f>VLOOKUP(A10,'Data '!A4:J38,2,0)</f>
        <v>Utsmaniyyah III</v>
      </c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>
        <f t="shared" si="0"/>
        <v>0</v>
      </c>
      <c r="O10" s="19"/>
      <c r="Q10" s="30">
        <f t="shared" si="1"/>
        <v>0</v>
      </c>
    </row>
    <row r="11" spans="1:21" ht="18" customHeight="1" x14ac:dyDescent="0.25">
      <c r="A11" s="29">
        <v>4</v>
      </c>
      <c r="B11" s="166" t="str">
        <f>VLOOKUP(A11,'Data '!A5:J39,3,0)</f>
        <v>M. Fatan Azzamy Isma'il</v>
      </c>
      <c r="C11" s="166" t="str">
        <f>VLOOKUP(A11,'Data '!A5:J39,2,0)</f>
        <v>Utsmaniyyah III</v>
      </c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>
        <f t="shared" si="0"/>
        <v>0</v>
      </c>
      <c r="O11" s="19"/>
      <c r="Q11" s="30">
        <f t="shared" si="1"/>
        <v>0</v>
      </c>
    </row>
    <row r="12" spans="1:21" ht="18" customHeight="1" x14ac:dyDescent="0.25">
      <c r="A12" s="29">
        <v>5</v>
      </c>
      <c r="B12" s="166" t="str">
        <f>VLOOKUP(A12,'Data '!A6:J40,3,0)</f>
        <v>M. Mahi Mutawakkil</v>
      </c>
      <c r="C12" s="166" t="str">
        <f>VLOOKUP(A12,'Data '!A6:J40,2,0)</f>
        <v>Utsmaniyyah III</v>
      </c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>
        <f t="shared" si="0"/>
        <v>0</v>
      </c>
      <c r="O12" s="19"/>
      <c r="Q12" s="30">
        <f t="shared" si="1"/>
        <v>0</v>
      </c>
    </row>
    <row r="13" spans="1:21" ht="18" customHeight="1" x14ac:dyDescent="0.25">
      <c r="A13" s="29">
        <v>6</v>
      </c>
      <c r="B13" s="166" t="str">
        <f>VLOOKUP(A13,'Data '!A7:J41,3,0)</f>
        <v>Renoval Faiz Al Ghifari</v>
      </c>
      <c r="C13" s="166" t="str">
        <f>VLOOKUP(A13,'Data '!A7:J41,2,0)</f>
        <v>Utsmaniyyah III</v>
      </c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>
        <f t="shared" si="0"/>
        <v>0</v>
      </c>
      <c r="O13" s="19"/>
      <c r="Q13" s="30">
        <f t="shared" si="1"/>
        <v>0</v>
      </c>
    </row>
    <row r="14" spans="1:21" ht="18" customHeight="1" x14ac:dyDescent="0.25">
      <c r="A14" s="29">
        <v>7</v>
      </c>
      <c r="B14" s="166" t="str">
        <f>VLOOKUP(A14,'Data '!A8:J42,3,0)</f>
        <v>Sindi Wulandari</v>
      </c>
      <c r="C14" s="166" t="str">
        <f>VLOOKUP(A14,'Data '!A8:J42,2,0)</f>
        <v>Utsmaniyyah III</v>
      </c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>
        <f t="shared" si="0"/>
        <v>0</v>
      </c>
      <c r="O14" s="19"/>
      <c r="Q14" s="30">
        <f t="shared" si="1"/>
        <v>0</v>
      </c>
    </row>
    <row r="15" spans="1:21" ht="18" customHeight="1" x14ac:dyDescent="0.25">
      <c r="A15" s="29">
        <v>8</v>
      </c>
      <c r="B15" s="166">
        <f>VLOOKUP(A15,'Data '!A8:J43,3,0)</f>
        <v>0</v>
      </c>
      <c r="C15" s="166">
        <f>VLOOKUP(A15,'Data '!A8:J43,2,0)</f>
        <v>0</v>
      </c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>
        <f t="shared" si="0"/>
        <v>0</v>
      </c>
      <c r="O15" s="19"/>
      <c r="Q15" s="30">
        <f t="shared" si="1"/>
        <v>0</v>
      </c>
    </row>
    <row r="16" spans="1:21" ht="18" customHeight="1" x14ac:dyDescent="0.25">
      <c r="A16" s="29">
        <v>9</v>
      </c>
      <c r="B16" s="166">
        <f>VLOOKUP(A16,'Data '!A9:J44,3,0)</f>
        <v>0</v>
      </c>
      <c r="C16" s="166">
        <f>VLOOKUP(A16,'Data '!A9:J44,2,0)</f>
        <v>0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>
        <f t="shared" si="0"/>
        <v>0</v>
      </c>
      <c r="O16" s="19"/>
      <c r="Q16" s="30">
        <f t="shared" si="1"/>
        <v>0</v>
      </c>
    </row>
    <row r="17" spans="1:17" ht="18" customHeight="1" x14ac:dyDescent="0.25">
      <c r="A17" s="29">
        <v>10</v>
      </c>
      <c r="B17" s="166">
        <f>VLOOKUP(A17,'Data '!A10:J45,3,0)</f>
        <v>0</v>
      </c>
      <c r="C17" s="166">
        <f>VLOOKUP(A17,'Data '!A10:J45,2,0)</f>
        <v>0</v>
      </c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>
        <f t="shared" si="0"/>
        <v>0</v>
      </c>
      <c r="O17" s="19"/>
      <c r="Q17" s="30">
        <f t="shared" si="1"/>
        <v>0</v>
      </c>
    </row>
    <row r="18" spans="1:17" ht="18" customHeight="1" x14ac:dyDescent="0.25">
      <c r="A18" s="29">
        <v>11</v>
      </c>
      <c r="B18" s="166">
        <f>VLOOKUP(A18,'Data '!A11:J46,3,0)</f>
        <v>0</v>
      </c>
      <c r="C18" s="166">
        <f>VLOOKUP(A18,'Data '!A11:J46,2,0)</f>
        <v>0</v>
      </c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>
        <f t="shared" si="0"/>
        <v>0</v>
      </c>
      <c r="O18" s="19"/>
      <c r="Q18" s="30">
        <f t="shared" si="1"/>
        <v>0</v>
      </c>
    </row>
    <row r="19" spans="1:17" ht="18" customHeight="1" x14ac:dyDescent="0.25">
      <c r="A19" s="29">
        <v>12</v>
      </c>
      <c r="B19" s="166">
        <f>VLOOKUP(A19,'Data '!A12:J47,3,0)</f>
        <v>0</v>
      </c>
      <c r="C19" s="166">
        <f>VLOOKUP(A19,'Data '!A12:J47,2,0)</f>
        <v>0</v>
      </c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>
        <f t="shared" si="0"/>
        <v>0</v>
      </c>
      <c r="O19" s="19"/>
      <c r="Q19" s="30">
        <f t="shared" si="1"/>
        <v>0</v>
      </c>
    </row>
    <row r="20" spans="1:17" ht="18" customHeight="1" x14ac:dyDescent="0.25">
      <c r="A20" s="29">
        <v>13</v>
      </c>
      <c r="B20" s="166">
        <f>VLOOKUP(A20,'Data '!A13:J48,3,0)</f>
        <v>0</v>
      </c>
      <c r="C20" s="166">
        <f>VLOOKUP(A20,'Data '!A13:J48,2,0)</f>
        <v>0</v>
      </c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>
        <f t="shared" si="0"/>
        <v>0</v>
      </c>
      <c r="O20" s="19"/>
      <c r="Q20" s="30">
        <f t="shared" si="1"/>
        <v>0</v>
      </c>
    </row>
    <row r="21" spans="1:17" ht="18" customHeight="1" x14ac:dyDescent="0.25">
      <c r="A21" s="29">
        <v>14</v>
      </c>
      <c r="B21" s="166">
        <f>VLOOKUP(A21,'Data '!A14:J49,3,0)</f>
        <v>0</v>
      </c>
      <c r="C21" s="166">
        <f>VLOOKUP(A21,'Data '!A14:J49,2,0)</f>
        <v>0</v>
      </c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>
        <f t="shared" si="0"/>
        <v>0</v>
      </c>
      <c r="O21" s="19"/>
      <c r="Q21" s="30">
        <f t="shared" si="1"/>
        <v>0</v>
      </c>
    </row>
    <row r="22" spans="1:17" ht="18" customHeight="1" x14ac:dyDescent="0.25">
      <c r="A22" s="29">
        <v>15</v>
      </c>
      <c r="B22" s="166">
        <f>VLOOKUP(A22,'Data '!A15:J50,3,0)</f>
        <v>0</v>
      </c>
      <c r="C22" s="166">
        <f>VLOOKUP(A22,'Data '!A15:J50,2,0)</f>
        <v>0</v>
      </c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>
        <f t="shared" si="0"/>
        <v>0</v>
      </c>
      <c r="O22" s="19"/>
      <c r="Q22" s="30">
        <f t="shared" si="1"/>
        <v>0</v>
      </c>
    </row>
    <row r="23" spans="1:17" ht="18" customHeight="1" x14ac:dyDescent="0.25">
      <c r="A23" s="29">
        <v>16</v>
      </c>
      <c r="B23" s="166">
        <f>VLOOKUP(A23,'Data '!A16:J51,3,0)</f>
        <v>0</v>
      </c>
      <c r="C23" s="166">
        <f>VLOOKUP(A23,'Data '!A16:J51,2,0)</f>
        <v>0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>
        <f t="shared" si="0"/>
        <v>0</v>
      </c>
      <c r="O23" s="19"/>
      <c r="Q23" s="30">
        <f t="shared" si="1"/>
        <v>0</v>
      </c>
    </row>
    <row r="24" spans="1:17" ht="18" customHeight="1" x14ac:dyDescent="0.25">
      <c r="A24" s="29">
        <v>17</v>
      </c>
      <c r="B24" s="166">
        <f>VLOOKUP(A24,'Data '!A17:J52,3,0)</f>
        <v>0</v>
      </c>
      <c r="C24" s="166">
        <f>VLOOKUP(A24,'Data '!A17:J52,2,0)</f>
        <v>0</v>
      </c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>
        <f t="shared" si="0"/>
        <v>0</v>
      </c>
      <c r="O24" s="19"/>
      <c r="Q24" s="30">
        <f t="shared" si="1"/>
        <v>0</v>
      </c>
    </row>
    <row r="25" spans="1:17" ht="18" customHeight="1" x14ac:dyDescent="0.25">
      <c r="A25" s="29">
        <v>18</v>
      </c>
      <c r="B25" s="166">
        <f>VLOOKUP(A25,'Data '!A18:J53,3,0)</f>
        <v>0</v>
      </c>
      <c r="C25" s="166">
        <f>VLOOKUP(A25,'Data '!A18:J53,2,0)</f>
        <v>0</v>
      </c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>
        <f t="shared" si="0"/>
        <v>0</v>
      </c>
      <c r="O25" s="19"/>
      <c r="Q25" s="30">
        <f t="shared" si="1"/>
        <v>0</v>
      </c>
    </row>
    <row r="26" spans="1:17" ht="18" customHeight="1" x14ac:dyDescent="0.25">
      <c r="A26" s="29">
        <v>19</v>
      </c>
      <c r="B26" s="166">
        <f>VLOOKUP(A26,'Data '!A19:J54,3,0)</f>
        <v>0</v>
      </c>
      <c r="C26" s="166">
        <f>VLOOKUP(A26,'Data '!A19:J54,2,0)</f>
        <v>0</v>
      </c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>
        <f t="shared" si="0"/>
        <v>0</v>
      </c>
      <c r="O26" s="19"/>
      <c r="Q26" s="30">
        <f t="shared" si="1"/>
        <v>0</v>
      </c>
    </row>
    <row r="27" spans="1:17" ht="18" customHeight="1" x14ac:dyDescent="0.25">
      <c r="A27" s="29">
        <v>20</v>
      </c>
      <c r="B27" s="166">
        <f>VLOOKUP(A27,'Data '!A20:J55,3,0)</f>
        <v>0</v>
      </c>
      <c r="C27" s="166">
        <f>VLOOKUP(A27,'Data '!A20:J55,2,0)</f>
        <v>0</v>
      </c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>
        <f t="shared" si="0"/>
        <v>0</v>
      </c>
      <c r="O27" s="19"/>
      <c r="Q27" s="30">
        <f t="shared" si="1"/>
        <v>0</v>
      </c>
    </row>
    <row r="28" spans="1:17" ht="18" customHeight="1" x14ac:dyDescent="0.25">
      <c r="A28" s="29">
        <v>21</v>
      </c>
      <c r="B28" s="166">
        <f>VLOOKUP(A28,'Data '!A21:J56,3,0)</f>
        <v>0</v>
      </c>
      <c r="C28" s="166">
        <f>VLOOKUP(A28,'Data '!A21:J56,2,0)</f>
        <v>0</v>
      </c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>
        <f t="shared" si="0"/>
        <v>0</v>
      </c>
      <c r="O28" s="19"/>
      <c r="Q28" s="30">
        <f t="shared" si="1"/>
        <v>0</v>
      </c>
    </row>
    <row r="30" spans="1:17" ht="18" customHeight="1" x14ac:dyDescent="0.2">
      <c r="K30" s="25" t="str">
        <f>'Data '!H38</f>
        <v>Tambak Jaya,                   September 2025</v>
      </c>
    </row>
    <row r="31" spans="1:17" ht="18" customHeight="1" x14ac:dyDescent="0.2">
      <c r="K31" s="25" t="s">
        <v>10</v>
      </c>
    </row>
    <row r="34" spans="1:15" ht="18" customHeight="1" x14ac:dyDescent="0.2">
      <c r="K34" s="25" t="s">
        <v>11</v>
      </c>
    </row>
    <row r="46" spans="1:15" ht="18" customHeight="1" x14ac:dyDescent="0.2">
      <c r="A46" s="144" t="s">
        <v>0</v>
      </c>
      <c r="B46" s="144"/>
      <c r="C46" s="144"/>
      <c r="D46" s="144"/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/>
    </row>
    <row r="47" spans="1:15" ht="18" customHeight="1" x14ac:dyDescent="0.2">
      <c r="A47" s="144" t="s">
        <v>12</v>
      </c>
      <c r="B47" s="144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</row>
    <row r="48" spans="1:15" ht="18" customHeight="1" x14ac:dyDescent="0.25">
      <c r="C48" s="26"/>
      <c r="D48" s="26"/>
      <c r="E48" s="26"/>
      <c r="F48" s="26"/>
      <c r="G48" s="26"/>
      <c r="H48" s="26"/>
      <c r="I48" s="26"/>
      <c r="J48" s="26"/>
      <c r="K48" s="26"/>
      <c r="L48" s="27" t="s">
        <v>13</v>
      </c>
      <c r="N48" s="31" t="s">
        <v>15</v>
      </c>
      <c r="O48" s="26"/>
    </row>
    <row r="50" spans="1:27" ht="18" customHeight="1" x14ac:dyDescent="0.2">
      <c r="A50" s="142" t="s">
        <v>1</v>
      </c>
      <c r="B50" s="142" t="s">
        <v>2</v>
      </c>
      <c r="C50" s="142" t="s">
        <v>3</v>
      </c>
      <c r="D50" s="142" t="s">
        <v>35</v>
      </c>
      <c r="E50" s="142"/>
      <c r="F50" s="142"/>
      <c r="G50" s="142"/>
      <c r="H50" s="142"/>
      <c r="I50" s="142"/>
      <c r="J50" s="142"/>
      <c r="K50" s="142"/>
      <c r="L50" s="142"/>
      <c r="M50" s="142"/>
      <c r="N50" s="143" t="s">
        <v>7</v>
      </c>
      <c r="O50" s="142" t="s">
        <v>8</v>
      </c>
      <c r="Q50" s="32"/>
      <c r="R50" s="32"/>
      <c r="S50" s="32"/>
      <c r="T50" s="32"/>
      <c r="U50" s="32"/>
      <c r="V50" s="33"/>
      <c r="W50" s="33"/>
      <c r="X50" s="33"/>
      <c r="Y50" s="33"/>
      <c r="Z50" s="33"/>
      <c r="AA50" s="33"/>
    </row>
    <row r="51" spans="1:27" ht="18" customHeight="1" x14ac:dyDescent="0.2">
      <c r="A51" s="142"/>
      <c r="B51" s="142"/>
      <c r="C51" s="142"/>
      <c r="D51" s="142"/>
      <c r="E51" s="142"/>
      <c r="F51" s="142"/>
      <c r="G51" s="142"/>
      <c r="H51" s="142"/>
      <c r="I51" s="142"/>
      <c r="J51" s="142"/>
      <c r="K51" s="142"/>
      <c r="L51" s="142"/>
      <c r="M51" s="142"/>
      <c r="N51" s="143"/>
      <c r="O51" s="142"/>
      <c r="Q51" s="32"/>
      <c r="R51" s="32"/>
      <c r="S51" s="32"/>
      <c r="T51" s="32"/>
      <c r="U51" s="32"/>
      <c r="V51" s="33"/>
      <c r="W51" s="33"/>
      <c r="X51" s="33"/>
      <c r="Y51" s="33"/>
      <c r="Z51" s="33"/>
      <c r="AA51" s="33"/>
    </row>
    <row r="52" spans="1:27" ht="18" customHeight="1" x14ac:dyDescent="0.2">
      <c r="A52" s="142"/>
      <c r="B52" s="142"/>
      <c r="C52" s="142"/>
      <c r="D52" s="29">
        <v>1</v>
      </c>
      <c r="E52" s="29">
        <v>2</v>
      </c>
      <c r="F52" s="29">
        <v>3</v>
      </c>
      <c r="G52" s="29">
        <v>4</v>
      </c>
      <c r="H52" s="29">
        <v>5</v>
      </c>
      <c r="I52" s="29">
        <v>6</v>
      </c>
      <c r="J52" s="29">
        <v>7</v>
      </c>
      <c r="K52" s="29">
        <v>8</v>
      </c>
      <c r="L52" s="29">
        <v>9</v>
      </c>
      <c r="M52" s="29">
        <v>10</v>
      </c>
      <c r="N52" s="143"/>
      <c r="O52" s="142"/>
      <c r="Q52" s="32"/>
      <c r="R52" s="32"/>
      <c r="S52" s="32"/>
      <c r="T52" s="32"/>
      <c r="U52" s="32"/>
      <c r="V52" s="33"/>
      <c r="W52" s="33"/>
      <c r="X52" s="33"/>
      <c r="Y52" s="33"/>
      <c r="Z52" s="33"/>
      <c r="AA52" s="33"/>
    </row>
    <row r="53" spans="1:27" ht="18" customHeight="1" x14ac:dyDescent="0.25">
      <c r="A53" s="29">
        <v>1</v>
      </c>
      <c r="B53" s="99" t="s">
        <v>178</v>
      </c>
      <c r="C53" s="30" t="s">
        <v>174</v>
      </c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19"/>
      <c r="Q53" s="30">
        <f>SUM(D53:M53)</f>
        <v>0</v>
      </c>
    </row>
    <row r="54" spans="1:27" ht="18" customHeight="1" x14ac:dyDescent="0.25">
      <c r="A54" s="29">
        <v>2</v>
      </c>
      <c r="B54" s="99" t="s">
        <v>177</v>
      </c>
      <c r="C54" s="30" t="s">
        <v>174</v>
      </c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19"/>
      <c r="Q54" s="30">
        <f t="shared" ref="Q54:Q73" si="2">SUM(D54:M54)</f>
        <v>0</v>
      </c>
    </row>
    <row r="55" spans="1:27" ht="18" customHeight="1" x14ac:dyDescent="0.25">
      <c r="A55" s="29">
        <v>3</v>
      </c>
      <c r="B55" s="99" t="s">
        <v>184</v>
      </c>
      <c r="C55" s="30" t="s">
        <v>174</v>
      </c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19"/>
      <c r="Q55" s="30">
        <f t="shared" si="2"/>
        <v>0</v>
      </c>
    </row>
    <row r="56" spans="1:27" ht="18" customHeight="1" x14ac:dyDescent="0.25">
      <c r="A56" s="29">
        <v>4</v>
      </c>
      <c r="B56" s="99" t="s">
        <v>179</v>
      </c>
      <c r="C56" s="30" t="s">
        <v>174</v>
      </c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19"/>
      <c r="Q56" s="30">
        <f t="shared" si="2"/>
        <v>0</v>
      </c>
    </row>
    <row r="57" spans="1:27" ht="18" customHeight="1" x14ac:dyDescent="0.25">
      <c r="A57" s="29">
        <v>5</v>
      </c>
      <c r="B57" s="99" t="s">
        <v>180</v>
      </c>
      <c r="C57" s="30" t="s">
        <v>174</v>
      </c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19"/>
      <c r="Q57" s="30">
        <f t="shared" si="2"/>
        <v>0</v>
      </c>
    </row>
    <row r="58" spans="1:27" ht="18" customHeight="1" x14ac:dyDescent="0.25">
      <c r="A58" s="29">
        <v>6</v>
      </c>
      <c r="B58" s="99" t="s">
        <v>182</v>
      </c>
      <c r="C58" s="30" t="s">
        <v>174</v>
      </c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19"/>
      <c r="Q58" s="30">
        <f t="shared" si="2"/>
        <v>0</v>
      </c>
    </row>
    <row r="59" spans="1:27" ht="18" customHeight="1" x14ac:dyDescent="0.25">
      <c r="A59" s="29">
        <v>7</v>
      </c>
      <c r="B59" s="99" t="s">
        <v>181</v>
      </c>
      <c r="C59" s="30" t="s">
        <v>174</v>
      </c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19"/>
      <c r="Q59" s="30">
        <f t="shared" si="2"/>
        <v>0</v>
      </c>
    </row>
    <row r="60" spans="1:27" ht="18" customHeight="1" x14ac:dyDescent="0.25">
      <c r="A60" s="29">
        <v>8</v>
      </c>
      <c r="B60" s="99" t="s">
        <v>183</v>
      </c>
      <c r="C60" s="30" t="s">
        <v>174</v>
      </c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19"/>
      <c r="Q60" s="30">
        <f t="shared" si="2"/>
        <v>0</v>
      </c>
    </row>
    <row r="61" spans="1:27" ht="18" customHeight="1" x14ac:dyDescent="0.25">
      <c r="A61" s="29">
        <v>9</v>
      </c>
      <c r="B61" s="30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19"/>
      <c r="Q61" s="30">
        <f t="shared" si="2"/>
        <v>0</v>
      </c>
    </row>
    <row r="62" spans="1:27" ht="18" customHeight="1" x14ac:dyDescent="0.25">
      <c r="A62" s="29">
        <v>10</v>
      </c>
      <c r="B62" s="30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19"/>
      <c r="Q62" s="30">
        <f t="shared" si="2"/>
        <v>0</v>
      </c>
    </row>
    <row r="63" spans="1:27" ht="18" customHeight="1" x14ac:dyDescent="0.25">
      <c r="A63" s="29">
        <v>11</v>
      </c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19"/>
      <c r="Q63" s="30">
        <f t="shared" si="2"/>
        <v>0</v>
      </c>
    </row>
    <row r="64" spans="1:27" ht="18" customHeight="1" x14ac:dyDescent="0.25">
      <c r="A64" s="29">
        <v>12</v>
      </c>
      <c r="B64" s="30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19"/>
      <c r="Q64" s="30">
        <f t="shared" si="2"/>
        <v>0</v>
      </c>
    </row>
    <row r="65" spans="1:17" ht="18" customHeight="1" x14ac:dyDescent="0.25">
      <c r="A65" s="29">
        <v>13</v>
      </c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19"/>
      <c r="Q65" s="30">
        <f t="shared" si="2"/>
        <v>0</v>
      </c>
    </row>
    <row r="66" spans="1:17" ht="18" customHeight="1" x14ac:dyDescent="0.25">
      <c r="A66" s="29">
        <v>14</v>
      </c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19"/>
      <c r="Q66" s="30">
        <f t="shared" si="2"/>
        <v>0</v>
      </c>
    </row>
    <row r="67" spans="1:17" ht="18" customHeight="1" x14ac:dyDescent="0.25">
      <c r="A67" s="29">
        <v>15</v>
      </c>
      <c r="B67" s="30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19"/>
      <c r="Q67" s="30">
        <f t="shared" si="2"/>
        <v>0</v>
      </c>
    </row>
    <row r="68" spans="1:17" ht="18" customHeight="1" x14ac:dyDescent="0.25">
      <c r="A68" s="29">
        <v>16</v>
      </c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19"/>
      <c r="Q68" s="30">
        <f t="shared" si="2"/>
        <v>0</v>
      </c>
    </row>
    <row r="69" spans="1:17" ht="18" customHeight="1" x14ac:dyDescent="0.25">
      <c r="A69" s="29">
        <v>17</v>
      </c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19"/>
      <c r="Q69" s="30">
        <f t="shared" si="2"/>
        <v>0</v>
      </c>
    </row>
    <row r="70" spans="1:17" ht="18" customHeight="1" x14ac:dyDescent="0.25">
      <c r="A70" s="29">
        <v>18</v>
      </c>
      <c r="B70" s="30"/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19"/>
      <c r="Q70" s="30">
        <f t="shared" si="2"/>
        <v>0</v>
      </c>
    </row>
    <row r="71" spans="1:17" ht="18" customHeight="1" x14ac:dyDescent="0.25">
      <c r="A71" s="29">
        <v>19</v>
      </c>
      <c r="B71" s="30"/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19"/>
      <c r="Q71" s="30">
        <f t="shared" si="2"/>
        <v>0</v>
      </c>
    </row>
    <row r="72" spans="1:17" ht="18" customHeight="1" x14ac:dyDescent="0.25">
      <c r="A72" s="29">
        <v>20</v>
      </c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19"/>
      <c r="Q72" s="30">
        <f t="shared" si="2"/>
        <v>0</v>
      </c>
    </row>
    <row r="73" spans="1:17" ht="18" customHeight="1" x14ac:dyDescent="0.25">
      <c r="A73" s="29">
        <v>21</v>
      </c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19"/>
      <c r="Q73" s="30">
        <f t="shared" si="2"/>
        <v>0</v>
      </c>
    </row>
    <row r="75" spans="1:17" ht="18" customHeight="1" x14ac:dyDescent="0.2">
      <c r="J75" s="25" t="str">
        <f>'Data '!H38</f>
        <v>Tambak Jaya,                   September 2025</v>
      </c>
    </row>
    <row r="76" spans="1:17" ht="18" customHeight="1" x14ac:dyDescent="0.2">
      <c r="J76" s="25" t="s">
        <v>10</v>
      </c>
    </row>
    <row r="79" spans="1:17" ht="18" customHeight="1" x14ac:dyDescent="0.2">
      <c r="J79" s="25" t="s">
        <v>11</v>
      </c>
    </row>
    <row r="91" spans="1:21" ht="18" customHeight="1" x14ac:dyDescent="0.25">
      <c r="A91" s="141" t="s">
        <v>0</v>
      </c>
      <c r="B91" s="141"/>
      <c r="C91" s="141"/>
      <c r="D91" s="141"/>
      <c r="E91" s="141"/>
      <c r="F91" s="141"/>
      <c r="G91" s="141"/>
      <c r="H91" s="141"/>
      <c r="I91" s="141"/>
      <c r="J91" s="141"/>
      <c r="K91" s="141"/>
      <c r="L91" s="141"/>
      <c r="M91" s="141"/>
      <c r="N91" s="141"/>
      <c r="O91" s="141"/>
    </row>
    <row r="92" spans="1:21" ht="18" customHeight="1" x14ac:dyDescent="0.25">
      <c r="A92" s="141" t="s">
        <v>12</v>
      </c>
      <c r="B92" s="141"/>
      <c r="C92" s="141"/>
      <c r="D92" s="141"/>
      <c r="E92" s="141"/>
      <c r="F92" s="141"/>
      <c r="G92" s="141"/>
      <c r="H92" s="141"/>
      <c r="I92" s="141"/>
      <c r="J92" s="141"/>
      <c r="K92" s="141"/>
      <c r="L92" s="141"/>
      <c r="M92" s="141"/>
      <c r="N92" s="141"/>
      <c r="O92" s="141"/>
    </row>
    <row r="93" spans="1:21" ht="18" customHeight="1" x14ac:dyDescent="0.25">
      <c r="C93" s="26"/>
      <c r="D93" s="26"/>
      <c r="E93" s="26"/>
      <c r="F93" s="26"/>
      <c r="G93" s="26"/>
      <c r="H93" s="26"/>
      <c r="I93" s="26"/>
      <c r="J93" s="26"/>
      <c r="K93" s="26"/>
      <c r="L93" s="27" t="s">
        <v>13</v>
      </c>
      <c r="N93" s="25" t="s">
        <v>130</v>
      </c>
      <c r="O93" s="26"/>
    </row>
    <row r="95" spans="1:21" ht="18" customHeight="1" x14ac:dyDescent="0.2">
      <c r="A95" s="142" t="s">
        <v>1</v>
      </c>
      <c r="B95" s="142" t="s">
        <v>2</v>
      </c>
      <c r="C95" s="142" t="s">
        <v>3</v>
      </c>
      <c r="D95" s="142" t="s">
        <v>4</v>
      </c>
      <c r="E95" s="142"/>
      <c r="F95" s="142"/>
      <c r="G95" s="142"/>
      <c r="H95" s="142"/>
      <c r="I95" s="142"/>
      <c r="J95" s="142"/>
      <c r="K95" s="142"/>
      <c r="L95" s="142"/>
      <c r="M95" s="142"/>
      <c r="N95" s="143" t="s">
        <v>7</v>
      </c>
      <c r="O95" s="142" t="s">
        <v>8</v>
      </c>
      <c r="Q95" s="28"/>
      <c r="R95" s="28"/>
      <c r="S95" s="28"/>
      <c r="T95" s="28"/>
      <c r="U95" s="28"/>
    </row>
    <row r="96" spans="1:21" ht="18" customHeight="1" x14ac:dyDescent="0.2">
      <c r="A96" s="142"/>
      <c r="B96" s="142"/>
      <c r="C96" s="142"/>
      <c r="D96" s="142"/>
      <c r="E96" s="142"/>
      <c r="F96" s="142"/>
      <c r="G96" s="142"/>
      <c r="H96" s="142"/>
      <c r="I96" s="142"/>
      <c r="J96" s="142"/>
      <c r="K96" s="142"/>
      <c r="L96" s="142"/>
      <c r="M96" s="142"/>
      <c r="N96" s="143"/>
      <c r="O96" s="142"/>
      <c r="Q96" s="28"/>
      <c r="R96" s="28"/>
      <c r="S96" s="28"/>
      <c r="T96" s="28"/>
      <c r="U96" s="28"/>
    </row>
    <row r="97" spans="1:21" ht="18" customHeight="1" x14ac:dyDescent="0.2">
      <c r="A97" s="142"/>
      <c r="B97" s="142"/>
      <c r="C97" s="142"/>
      <c r="D97" s="29">
        <v>1</v>
      </c>
      <c r="E97" s="29">
        <v>2</v>
      </c>
      <c r="F97" s="29">
        <v>3</v>
      </c>
      <c r="G97" s="29">
        <v>4</v>
      </c>
      <c r="H97" s="29">
        <v>5</v>
      </c>
      <c r="I97" s="29">
        <v>6</v>
      </c>
      <c r="J97" s="29">
        <v>7</v>
      </c>
      <c r="K97" s="29">
        <v>8</v>
      </c>
      <c r="L97" s="29">
        <v>9</v>
      </c>
      <c r="M97" s="29">
        <v>10</v>
      </c>
      <c r="N97" s="143"/>
      <c r="O97" s="142"/>
      <c r="Q97" s="28"/>
      <c r="R97" s="28"/>
      <c r="S97" s="28"/>
      <c r="T97" s="28"/>
      <c r="U97" s="28"/>
    </row>
    <row r="98" spans="1:21" ht="18" customHeight="1" x14ac:dyDescent="0.25">
      <c r="A98" s="29">
        <v>1</v>
      </c>
      <c r="B98" s="30" t="str">
        <f t="shared" ref="B98:B105" si="3">B53</f>
        <v>Ahmad Habiburrahman</v>
      </c>
      <c r="C98" s="30" t="s">
        <v>174</v>
      </c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65"/>
      <c r="O98" s="19"/>
      <c r="S98" s="30">
        <f>SUM(D98:M98)</f>
        <v>0</v>
      </c>
    </row>
    <row r="99" spans="1:21" ht="18" customHeight="1" x14ac:dyDescent="0.25">
      <c r="A99" s="29">
        <v>2</v>
      </c>
      <c r="B99" s="30" t="str">
        <f t="shared" si="3"/>
        <v>Aulia Zahra El Fikri</v>
      </c>
      <c r="C99" s="30" t="s">
        <v>174</v>
      </c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65"/>
      <c r="O99" s="19"/>
      <c r="S99" s="30">
        <f t="shared" ref="S99:S118" si="4">SUM(D99:M99)</f>
        <v>0</v>
      </c>
    </row>
    <row r="100" spans="1:21" ht="18" customHeight="1" x14ac:dyDescent="0.25">
      <c r="A100" s="29">
        <v>3</v>
      </c>
      <c r="B100" s="30" t="str">
        <f t="shared" si="3"/>
        <v>Nur Habibi</v>
      </c>
      <c r="C100" s="30" t="s">
        <v>174</v>
      </c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65"/>
      <c r="O100" s="19"/>
      <c r="S100" s="30">
        <f t="shared" si="4"/>
        <v>0</v>
      </c>
    </row>
    <row r="101" spans="1:21" ht="18" customHeight="1" x14ac:dyDescent="0.25">
      <c r="A101" s="29">
        <v>4</v>
      </c>
      <c r="B101" s="30" t="str">
        <f t="shared" si="3"/>
        <v>M. Fatan Azzamy Isma'il</v>
      </c>
      <c r="C101" s="30" t="s">
        <v>174</v>
      </c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65"/>
      <c r="O101" s="19"/>
      <c r="S101" s="30">
        <f t="shared" si="4"/>
        <v>0</v>
      </c>
    </row>
    <row r="102" spans="1:21" ht="18" customHeight="1" x14ac:dyDescent="0.25">
      <c r="A102" s="29">
        <v>5</v>
      </c>
      <c r="B102" s="30" t="str">
        <f t="shared" si="3"/>
        <v>M. Mahi Mutawakkil</v>
      </c>
      <c r="C102" s="30" t="s">
        <v>174</v>
      </c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65"/>
      <c r="O102" s="19"/>
      <c r="S102" s="30">
        <f t="shared" si="4"/>
        <v>0</v>
      </c>
    </row>
    <row r="103" spans="1:21" ht="18" customHeight="1" x14ac:dyDescent="0.25">
      <c r="A103" s="29">
        <v>6</v>
      </c>
      <c r="B103" s="30" t="str">
        <f t="shared" si="3"/>
        <v>Muhammad Rozikin</v>
      </c>
      <c r="C103" s="30" t="s">
        <v>174</v>
      </c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65"/>
      <c r="O103" s="19"/>
      <c r="S103" s="30">
        <f t="shared" si="4"/>
        <v>0</v>
      </c>
    </row>
    <row r="104" spans="1:21" ht="18" customHeight="1" x14ac:dyDescent="0.25">
      <c r="A104" s="29">
        <v>7</v>
      </c>
      <c r="B104" s="30" t="str">
        <f t="shared" si="3"/>
        <v>Renoval Faiz Al Ghifari</v>
      </c>
      <c r="C104" s="30" t="s">
        <v>174</v>
      </c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65"/>
      <c r="O104" s="19"/>
      <c r="S104" s="30">
        <f t="shared" si="4"/>
        <v>0</v>
      </c>
    </row>
    <row r="105" spans="1:21" ht="18" customHeight="1" x14ac:dyDescent="0.25">
      <c r="A105" s="29">
        <v>8</v>
      </c>
      <c r="B105" s="30" t="str">
        <f t="shared" si="3"/>
        <v>Sindi Wulandari</v>
      </c>
      <c r="C105" s="30" t="s">
        <v>174</v>
      </c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65"/>
      <c r="O105" s="19"/>
      <c r="S105" s="30">
        <f t="shared" si="4"/>
        <v>0</v>
      </c>
    </row>
    <row r="106" spans="1:21" ht="18" customHeight="1" x14ac:dyDescent="0.25">
      <c r="A106" s="29">
        <v>9</v>
      </c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65"/>
      <c r="O106" s="19"/>
      <c r="S106" s="30">
        <f t="shared" si="4"/>
        <v>0</v>
      </c>
    </row>
    <row r="107" spans="1:21" ht="18" customHeight="1" x14ac:dyDescent="0.25">
      <c r="A107" s="29">
        <v>10</v>
      </c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65"/>
      <c r="O107" s="19"/>
      <c r="S107" s="30">
        <f t="shared" si="4"/>
        <v>0</v>
      </c>
    </row>
    <row r="108" spans="1:21" ht="18" customHeight="1" x14ac:dyDescent="0.25">
      <c r="A108" s="29">
        <v>11</v>
      </c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65"/>
      <c r="O108" s="19"/>
      <c r="S108" s="30">
        <f t="shared" si="4"/>
        <v>0</v>
      </c>
    </row>
    <row r="109" spans="1:21" ht="18" customHeight="1" x14ac:dyDescent="0.25">
      <c r="A109" s="29">
        <v>12</v>
      </c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65"/>
      <c r="O109" s="19"/>
      <c r="S109" s="30">
        <f t="shared" si="4"/>
        <v>0</v>
      </c>
    </row>
    <row r="110" spans="1:21" ht="18" customHeight="1" x14ac:dyDescent="0.25">
      <c r="A110" s="29">
        <v>13</v>
      </c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65"/>
      <c r="O110" s="19"/>
      <c r="S110" s="30">
        <f t="shared" si="4"/>
        <v>0</v>
      </c>
    </row>
    <row r="111" spans="1:21" ht="18" customHeight="1" x14ac:dyDescent="0.25">
      <c r="A111" s="29">
        <v>14</v>
      </c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65"/>
      <c r="O111" s="19"/>
      <c r="S111" s="30">
        <f t="shared" si="4"/>
        <v>0</v>
      </c>
    </row>
    <row r="112" spans="1:21" ht="18" customHeight="1" x14ac:dyDescent="0.25">
      <c r="A112" s="29">
        <v>15</v>
      </c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65"/>
      <c r="O112" s="19"/>
      <c r="S112" s="30">
        <f t="shared" si="4"/>
        <v>0</v>
      </c>
    </row>
    <row r="113" spans="1:19" ht="18" customHeight="1" x14ac:dyDescent="0.25">
      <c r="A113" s="29">
        <v>16</v>
      </c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65"/>
      <c r="O113" s="19"/>
      <c r="S113" s="30">
        <f t="shared" si="4"/>
        <v>0</v>
      </c>
    </row>
    <row r="114" spans="1:19" ht="18" customHeight="1" x14ac:dyDescent="0.25">
      <c r="A114" s="29">
        <v>17</v>
      </c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65"/>
      <c r="O114" s="19"/>
      <c r="S114" s="90">
        <f t="shared" si="4"/>
        <v>0</v>
      </c>
    </row>
    <row r="115" spans="1:19" ht="18" customHeight="1" x14ac:dyDescent="0.25">
      <c r="A115" s="29">
        <v>18</v>
      </c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65"/>
      <c r="O115" s="19"/>
      <c r="S115" s="30">
        <f t="shared" si="4"/>
        <v>0</v>
      </c>
    </row>
    <row r="116" spans="1:19" ht="18" customHeight="1" x14ac:dyDescent="0.25">
      <c r="A116" s="29">
        <v>19</v>
      </c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65"/>
      <c r="O116" s="19"/>
      <c r="S116" s="30">
        <f t="shared" si="4"/>
        <v>0</v>
      </c>
    </row>
    <row r="117" spans="1:19" ht="18" customHeight="1" x14ac:dyDescent="0.25">
      <c r="A117" s="29">
        <v>20</v>
      </c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65"/>
      <c r="O117" s="19"/>
      <c r="S117" s="30">
        <f t="shared" si="4"/>
        <v>0</v>
      </c>
    </row>
    <row r="118" spans="1:19" ht="18" customHeight="1" x14ac:dyDescent="0.25">
      <c r="A118" s="29">
        <v>21</v>
      </c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65"/>
      <c r="O118" s="19"/>
      <c r="S118" s="30">
        <f t="shared" si="4"/>
        <v>0</v>
      </c>
    </row>
    <row r="120" spans="1:19" ht="18" customHeight="1" x14ac:dyDescent="0.2">
      <c r="K120" s="25" t="str">
        <f>'Data '!H38</f>
        <v>Tambak Jaya,                   September 2025</v>
      </c>
    </row>
    <row r="121" spans="1:19" ht="18" customHeight="1" x14ac:dyDescent="0.2">
      <c r="K121" s="25" t="s">
        <v>10</v>
      </c>
    </row>
    <row r="124" spans="1:19" ht="18" customHeight="1" x14ac:dyDescent="0.2">
      <c r="K124" s="25" t="s">
        <v>11</v>
      </c>
    </row>
  </sheetData>
  <sortState xmlns:xlrd2="http://schemas.microsoft.com/office/spreadsheetml/2017/richdata2" ref="B8:B28">
    <sortCondition ref="B55"/>
  </sortState>
  <mergeCells count="28">
    <mergeCell ref="D51:M51"/>
    <mergeCell ref="A46:O46"/>
    <mergeCell ref="D50:M50"/>
    <mergeCell ref="N50:N52"/>
    <mergeCell ref="O50:O52"/>
    <mergeCell ref="A47:O47"/>
    <mergeCell ref="A50:A52"/>
    <mergeCell ref="B50:B52"/>
    <mergeCell ref="C50:C52"/>
    <mergeCell ref="A1:O1"/>
    <mergeCell ref="A2:O2"/>
    <mergeCell ref="D6:H6"/>
    <mergeCell ref="C5:C7"/>
    <mergeCell ref="B5:B7"/>
    <mergeCell ref="A5:A7"/>
    <mergeCell ref="I6:M6"/>
    <mergeCell ref="D5:M5"/>
    <mergeCell ref="N5:N7"/>
    <mergeCell ref="O5:O7"/>
    <mergeCell ref="A91:O91"/>
    <mergeCell ref="A95:A97"/>
    <mergeCell ref="B95:B97"/>
    <mergeCell ref="C95:C97"/>
    <mergeCell ref="D95:M95"/>
    <mergeCell ref="N95:N97"/>
    <mergeCell ref="O95:O97"/>
    <mergeCell ref="A92:O92"/>
    <mergeCell ref="D96:M96"/>
  </mergeCells>
  <conditionalFormatting sqref="O8:O28">
    <cfRule type="cellIs" dxfId="36" priority="66" operator="equal">
      <formula>"TIDAK$8:$8 LULUS"</formula>
    </cfRule>
    <cfRule type="cellIs" dxfId="35" priority="67" operator="equal">
      <formula>"LULUS"</formula>
    </cfRule>
    <cfRule type="cellIs" dxfId="34" priority="68" operator="between">
      <formula>"LULUS"</formula>
      <formula>"TIDAK$8:$8 LULUS"</formula>
    </cfRule>
    <cfRule type="dataBar" priority="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{852A6C84-CE68-419E-9710-D449200305AA}</x14:id>
        </ext>
      </extLst>
    </cfRule>
  </conditionalFormatting>
  <conditionalFormatting sqref="O53:O73">
    <cfRule type="cellIs" dxfId="33" priority="70" operator="equal">
      <formula>"TIDAK$8:$8 LULUS"</formula>
    </cfRule>
    <cfRule type="cellIs" dxfId="32" priority="71" operator="equal">
      <formula>"LULUS"</formula>
    </cfRule>
    <cfRule type="cellIs" dxfId="31" priority="72" operator="between">
      <formula>"LULUS"</formula>
      <formula>"TIDAK$8:$8 LULUS"</formula>
    </cfRule>
    <cfRule type="dataBar" priority="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{9FAF0A35-6DCF-4A6F-8CEC-55E43EB6D937}</x14:id>
        </ext>
      </extLst>
    </cfRule>
  </conditionalFormatting>
  <conditionalFormatting sqref="O98:O118">
    <cfRule type="cellIs" dxfId="30" priority="74" operator="equal">
      <formula>"TIDAK$8:$8 LULUS"</formula>
    </cfRule>
    <cfRule type="cellIs" dxfId="29" priority="75" operator="equal">
      <formula>"LULUS"</formula>
    </cfRule>
    <cfRule type="cellIs" dxfId="28" priority="76" operator="between">
      <formula>"LULUS"</formula>
      <formula>"TIDAK$8:$8 LULUS"</formula>
    </cfRule>
    <cfRule type="dataBar" priority="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{D9423307-9423-40D9-AE87-F2823DC571B1}</x14:id>
        </ext>
      </extLst>
    </cfRule>
  </conditionalFormatting>
  <pageMargins left="0.7" right="0.7" top="0.75" bottom="0.75" header="0.3" footer="0.3"/>
  <pageSetup paperSize="9" scale="21" orientation="landscape" horizontalDpi="4294967293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52A6C84-CE68-419E-9710-D449200305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O8:O28</xm:sqref>
        </x14:conditionalFormatting>
        <x14:conditionalFormatting xmlns:xm="http://schemas.microsoft.com/office/excel/2006/main">
          <x14:cfRule type="dataBar" id="{9FAF0A35-6DCF-4A6F-8CEC-55E43EB6D9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O53:O73</xm:sqref>
        </x14:conditionalFormatting>
        <x14:conditionalFormatting xmlns:xm="http://schemas.microsoft.com/office/excel/2006/main">
          <x14:cfRule type="dataBar" id="{D9423307-9423-40D9-AE87-F2823DC571B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O98:O118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EEBD2-55B9-45E0-89F1-A2B677D52CA1}">
  <sheetPr>
    <pageSetUpPr fitToPage="1"/>
  </sheetPr>
  <dimension ref="A1:U34"/>
  <sheetViews>
    <sheetView view="pageBreakPreview" topLeftCell="A4" zoomScale="60" workbookViewId="0">
      <selection activeCell="N8" sqref="N8:N28"/>
    </sheetView>
  </sheetViews>
  <sheetFormatPr defaultRowHeight="18" customHeight="1" x14ac:dyDescent="0.2"/>
  <cols>
    <col min="1" max="1" width="5.7109375" style="25" customWidth="1"/>
    <col min="2" max="2" width="29.5703125" style="25" customWidth="1"/>
    <col min="3" max="3" width="21.7109375" style="25" customWidth="1"/>
    <col min="4" max="13" width="6.7109375" style="25" customWidth="1"/>
    <col min="14" max="14" width="8.7109375" style="25" customWidth="1"/>
    <col min="15" max="15" width="30" style="25" customWidth="1"/>
    <col min="16" max="16" width="6.42578125" style="25" customWidth="1"/>
    <col min="17" max="17" width="9.140625" style="25"/>
    <col min="18" max="18" width="3.42578125" style="25" customWidth="1"/>
    <col min="19" max="19" width="9.85546875" style="25" customWidth="1"/>
    <col min="20" max="27" width="4.7109375" style="25" customWidth="1"/>
    <col min="28" max="16384" width="9.140625" style="25"/>
  </cols>
  <sheetData>
    <row r="1" spans="1:21" ht="18" customHeight="1" x14ac:dyDescent="0.25">
      <c r="A1" s="141" t="s">
        <v>0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</row>
    <row r="2" spans="1:21" ht="18" customHeight="1" x14ac:dyDescent="0.25">
      <c r="A2" s="141" t="s">
        <v>12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</row>
    <row r="3" spans="1:21" ht="18" customHeight="1" x14ac:dyDescent="0.25">
      <c r="C3" s="26"/>
      <c r="D3" s="26"/>
      <c r="E3" s="26"/>
      <c r="F3" s="26"/>
      <c r="G3" s="26"/>
      <c r="H3" s="26"/>
      <c r="I3" s="26"/>
      <c r="J3" s="26"/>
      <c r="K3" s="26"/>
      <c r="L3" s="27" t="s">
        <v>13</v>
      </c>
      <c r="N3" s="25" t="s">
        <v>130</v>
      </c>
      <c r="O3" s="26"/>
    </row>
    <row r="5" spans="1:21" ht="18" customHeight="1" x14ac:dyDescent="0.2">
      <c r="A5" s="142" t="s">
        <v>1</v>
      </c>
      <c r="B5" s="142" t="s">
        <v>2</v>
      </c>
      <c r="C5" s="142" t="s">
        <v>3</v>
      </c>
      <c r="D5" s="142" t="s">
        <v>4</v>
      </c>
      <c r="E5" s="142"/>
      <c r="F5" s="142"/>
      <c r="G5" s="142"/>
      <c r="H5" s="142"/>
      <c r="I5" s="142"/>
      <c r="J5" s="142"/>
      <c r="K5" s="142"/>
      <c r="L5" s="142"/>
      <c r="M5" s="142"/>
      <c r="N5" s="143" t="s">
        <v>7</v>
      </c>
      <c r="O5" s="142" t="s">
        <v>8</v>
      </c>
      <c r="Q5" s="28"/>
      <c r="R5" s="28"/>
      <c r="S5" s="28"/>
      <c r="T5" s="28"/>
      <c r="U5" s="28"/>
    </row>
    <row r="6" spans="1:21" ht="18" customHeight="1" x14ac:dyDescent="0.2">
      <c r="A6" s="142"/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3"/>
      <c r="O6" s="142"/>
      <c r="Q6" s="28"/>
      <c r="R6" s="28"/>
      <c r="S6" s="28"/>
      <c r="T6" s="28"/>
      <c r="U6" s="28"/>
    </row>
    <row r="7" spans="1:21" ht="18" customHeight="1" x14ac:dyDescent="0.2">
      <c r="A7" s="142"/>
      <c r="B7" s="142"/>
      <c r="C7" s="142"/>
      <c r="D7" s="29">
        <v>1</v>
      </c>
      <c r="E7" s="29">
        <v>2</v>
      </c>
      <c r="F7" s="29">
        <v>3</v>
      </c>
      <c r="G7" s="29">
        <v>4</v>
      </c>
      <c r="H7" s="29">
        <v>5</v>
      </c>
      <c r="I7" s="29">
        <v>6</v>
      </c>
      <c r="J7" s="29">
        <v>7</v>
      </c>
      <c r="K7" s="29">
        <v>8</v>
      </c>
      <c r="L7" s="29">
        <v>9</v>
      </c>
      <c r="M7" s="29">
        <v>10</v>
      </c>
      <c r="N7" s="143"/>
      <c r="O7" s="142"/>
      <c r="Q7" s="28"/>
      <c r="R7" s="28"/>
      <c r="S7" s="28"/>
      <c r="T7" s="28"/>
      <c r="U7" s="28"/>
    </row>
    <row r="8" spans="1:21" ht="18" customHeight="1" x14ac:dyDescent="0.25">
      <c r="A8" s="29">
        <v>1</v>
      </c>
      <c r="B8" s="166" t="str">
        <f>VLOOKUP(A8,'Data '!A2:J36,3,0)</f>
        <v>Ahmad Alhabib Ramadhan</v>
      </c>
      <c r="C8" s="166" t="str">
        <f>VLOOKUP(A8,'Data '!A2:J36,2,0)</f>
        <v>Utsmaniyyah III</v>
      </c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6">
        <f>SUM(D8:M8)</f>
        <v>0</v>
      </c>
      <c r="O8" s="168"/>
      <c r="S8" s="30">
        <f>SUM(D8:M8)</f>
        <v>0</v>
      </c>
    </row>
    <row r="9" spans="1:21" ht="18" customHeight="1" x14ac:dyDescent="0.25">
      <c r="A9" s="29">
        <v>2</v>
      </c>
      <c r="B9" s="166" t="str">
        <f>VLOOKUP(A9,'Data '!A3:J37,3,0)</f>
        <v>Aulia Zahra El Fikri</v>
      </c>
      <c r="C9" s="166" t="str">
        <f>VLOOKUP(A9,'Data '!A3:J37,2,0)</f>
        <v>Utsmaniyyah III</v>
      </c>
      <c r="D9" s="166"/>
      <c r="E9" s="166"/>
      <c r="F9" s="166"/>
      <c r="G9" s="166"/>
      <c r="H9" s="166"/>
      <c r="I9" s="166"/>
      <c r="J9" s="166"/>
      <c r="K9" s="166"/>
      <c r="L9" s="166"/>
      <c r="M9" s="166"/>
      <c r="N9" s="166">
        <f t="shared" ref="N9:N28" si="0">SUM(D9:M9)</f>
        <v>0</v>
      </c>
      <c r="O9" s="168"/>
      <c r="S9" s="30">
        <f t="shared" ref="S9:S28" si="1">SUM(D9:M9)</f>
        <v>0</v>
      </c>
    </row>
    <row r="10" spans="1:21" ht="18" customHeight="1" x14ac:dyDescent="0.25">
      <c r="A10" s="29">
        <v>3</v>
      </c>
      <c r="B10" s="166" t="str">
        <f>VLOOKUP(A10,'Data '!A4:J38,3,0)</f>
        <v>Nur Habibi</v>
      </c>
      <c r="C10" s="166" t="str">
        <f>VLOOKUP(A10,'Data '!A4:J38,2,0)</f>
        <v>Utsmaniyyah III</v>
      </c>
      <c r="D10" s="166"/>
      <c r="E10" s="166"/>
      <c r="F10" s="166"/>
      <c r="G10" s="166"/>
      <c r="H10" s="166"/>
      <c r="I10" s="166"/>
      <c r="J10" s="166"/>
      <c r="K10" s="166"/>
      <c r="L10" s="166"/>
      <c r="M10" s="166"/>
      <c r="N10" s="166">
        <f t="shared" si="0"/>
        <v>0</v>
      </c>
      <c r="O10" s="168"/>
      <c r="S10" s="30">
        <f t="shared" si="1"/>
        <v>0</v>
      </c>
    </row>
    <row r="11" spans="1:21" ht="18" customHeight="1" x14ac:dyDescent="0.25">
      <c r="A11" s="29">
        <v>4</v>
      </c>
      <c r="B11" s="166" t="str">
        <f>VLOOKUP(A11,'Data '!A5:J39,3,0)</f>
        <v>M. Fatan Azzamy Isma'il</v>
      </c>
      <c r="C11" s="166" t="str">
        <f>VLOOKUP(A11,'Data '!A5:J39,2,0)</f>
        <v>Utsmaniyyah III</v>
      </c>
      <c r="D11" s="166"/>
      <c r="E11" s="166"/>
      <c r="F11" s="166"/>
      <c r="G11" s="166"/>
      <c r="H11" s="166"/>
      <c r="I11" s="166"/>
      <c r="J11" s="166"/>
      <c r="K11" s="166"/>
      <c r="L11" s="166"/>
      <c r="M11" s="166"/>
      <c r="N11" s="166">
        <f t="shared" si="0"/>
        <v>0</v>
      </c>
      <c r="O11" s="168"/>
      <c r="S11" s="30">
        <f t="shared" si="1"/>
        <v>0</v>
      </c>
    </row>
    <row r="12" spans="1:21" ht="18" customHeight="1" x14ac:dyDescent="0.25">
      <c r="A12" s="29">
        <v>5</v>
      </c>
      <c r="B12" s="166" t="str">
        <f>VLOOKUP(A12,'Data '!A6:J40,3,0)</f>
        <v>M. Mahi Mutawakkil</v>
      </c>
      <c r="C12" s="166" t="str">
        <f>VLOOKUP(A12,'Data '!A6:J40,2,0)</f>
        <v>Utsmaniyyah III</v>
      </c>
      <c r="D12" s="166"/>
      <c r="E12" s="166"/>
      <c r="F12" s="166"/>
      <c r="G12" s="166"/>
      <c r="H12" s="166"/>
      <c r="I12" s="166"/>
      <c r="J12" s="166"/>
      <c r="K12" s="166"/>
      <c r="L12" s="166"/>
      <c r="M12" s="166"/>
      <c r="N12" s="166">
        <f t="shared" si="0"/>
        <v>0</v>
      </c>
      <c r="O12" s="168"/>
      <c r="S12" s="30">
        <f t="shared" si="1"/>
        <v>0</v>
      </c>
    </row>
    <row r="13" spans="1:21" ht="18" customHeight="1" x14ac:dyDescent="0.25">
      <c r="A13" s="29">
        <v>6</v>
      </c>
      <c r="B13" s="166" t="str">
        <f>VLOOKUP(A13,'Data '!A7:J41,3,0)</f>
        <v>Renoval Faiz Al Ghifari</v>
      </c>
      <c r="C13" s="166" t="str">
        <f>VLOOKUP(A13,'Data '!A7:J41,2,0)</f>
        <v>Utsmaniyyah III</v>
      </c>
      <c r="D13" s="166"/>
      <c r="E13" s="166"/>
      <c r="F13" s="166"/>
      <c r="G13" s="166"/>
      <c r="H13" s="166"/>
      <c r="I13" s="166"/>
      <c r="J13" s="166"/>
      <c r="K13" s="166"/>
      <c r="L13" s="166"/>
      <c r="M13" s="166"/>
      <c r="N13" s="166">
        <f t="shared" si="0"/>
        <v>0</v>
      </c>
      <c r="O13" s="168"/>
      <c r="S13" s="30">
        <f t="shared" si="1"/>
        <v>0</v>
      </c>
    </row>
    <row r="14" spans="1:21" ht="18" customHeight="1" x14ac:dyDescent="0.25">
      <c r="A14" s="29">
        <v>7</v>
      </c>
      <c r="B14" s="166" t="str">
        <f>VLOOKUP(A14,'Data '!A8:J42,3,0)</f>
        <v>Sindi Wulandari</v>
      </c>
      <c r="C14" s="166" t="str">
        <f>VLOOKUP(A14,'Data '!A8:J42,2,0)</f>
        <v>Utsmaniyyah III</v>
      </c>
      <c r="D14" s="166"/>
      <c r="E14" s="166"/>
      <c r="F14" s="166"/>
      <c r="G14" s="166"/>
      <c r="H14" s="166"/>
      <c r="I14" s="166"/>
      <c r="J14" s="166"/>
      <c r="K14" s="166"/>
      <c r="L14" s="166"/>
      <c r="M14" s="166"/>
      <c r="N14" s="166">
        <f t="shared" si="0"/>
        <v>0</v>
      </c>
      <c r="O14" s="168"/>
      <c r="S14" s="30">
        <f t="shared" si="1"/>
        <v>0</v>
      </c>
    </row>
    <row r="15" spans="1:21" ht="18" customHeight="1" x14ac:dyDescent="0.25">
      <c r="A15" s="29">
        <v>8</v>
      </c>
      <c r="B15" s="166">
        <f>VLOOKUP(A15,'Data '!A8:J43,3,0)</f>
        <v>0</v>
      </c>
      <c r="C15" s="166">
        <f>VLOOKUP(A15,'Data '!A8:J43,2,0)</f>
        <v>0</v>
      </c>
      <c r="D15" s="166"/>
      <c r="E15" s="166"/>
      <c r="F15" s="166"/>
      <c r="G15" s="166"/>
      <c r="H15" s="166"/>
      <c r="I15" s="166"/>
      <c r="J15" s="166"/>
      <c r="K15" s="166"/>
      <c r="L15" s="166"/>
      <c r="M15" s="166"/>
      <c r="N15" s="166">
        <f t="shared" si="0"/>
        <v>0</v>
      </c>
      <c r="O15" s="168"/>
      <c r="S15" s="30">
        <f t="shared" si="1"/>
        <v>0</v>
      </c>
    </row>
    <row r="16" spans="1:21" ht="18" customHeight="1" x14ac:dyDescent="0.25">
      <c r="A16" s="29">
        <v>9</v>
      </c>
      <c r="B16" s="166">
        <f>VLOOKUP(A16,'Data '!A9:J44,3,0)</f>
        <v>0</v>
      </c>
      <c r="C16" s="166">
        <f>VLOOKUP(A16,'Data '!A9:J44,2,0)</f>
        <v>0</v>
      </c>
      <c r="D16" s="166"/>
      <c r="E16" s="166"/>
      <c r="F16" s="166"/>
      <c r="G16" s="166"/>
      <c r="H16" s="166"/>
      <c r="I16" s="166"/>
      <c r="J16" s="166"/>
      <c r="K16" s="166"/>
      <c r="L16" s="166"/>
      <c r="M16" s="166"/>
      <c r="N16" s="166">
        <f t="shared" si="0"/>
        <v>0</v>
      </c>
      <c r="O16" s="168"/>
      <c r="S16" s="30">
        <f t="shared" si="1"/>
        <v>0</v>
      </c>
    </row>
    <row r="17" spans="1:19" ht="18" customHeight="1" x14ac:dyDescent="0.25">
      <c r="A17" s="29">
        <v>10</v>
      </c>
      <c r="B17" s="166">
        <f>VLOOKUP(A17,'Data '!A10:J45,3,0)</f>
        <v>0</v>
      </c>
      <c r="C17" s="166">
        <f>VLOOKUP(A17,'Data '!A10:J45,2,0)</f>
        <v>0</v>
      </c>
      <c r="D17" s="166"/>
      <c r="E17" s="166"/>
      <c r="F17" s="166"/>
      <c r="G17" s="166"/>
      <c r="H17" s="166"/>
      <c r="I17" s="166"/>
      <c r="J17" s="166"/>
      <c r="K17" s="166"/>
      <c r="L17" s="166"/>
      <c r="M17" s="166"/>
      <c r="N17" s="166">
        <f t="shared" si="0"/>
        <v>0</v>
      </c>
      <c r="O17" s="168"/>
      <c r="S17" s="30">
        <f t="shared" si="1"/>
        <v>0</v>
      </c>
    </row>
    <row r="18" spans="1:19" ht="18" customHeight="1" x14ac:dyDescent="0.25">
      <c r="A18" s="29">
        <v>11</v>
      </c>
      <c r="B18" s="166">
        <f>VLOOKUP(A18,'Data '!A11:J46,3,0)</f>
        <v>0</v>
      </c>
      <c r="C18" s="166">
        <f>VLOOKUP(A18,'Data '!A11:J46,2,0)</f>
        <v>0</v>
      </c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>
        <f t="shared" si="0"/>
        <v>0</v>
      </c>
      <c r="O18" s="168"/>
      <c r="S18" s="30">
        <f t="shared" si="1"/>
        <v>0</v>
      </c>
    </row>
    <row r="19" spans="1:19" ht="18" customHeight="1" x14ac:dyDescent="0.25">
      <c r="A19" s="29">
        <v>12</v>
      </c>
      <c r="B19" s="166">
        <f>VLOOKUP(A19,'Data '!A12:J47,3,0)</f>
        <v>0</v>
      </c>
      <c r="C19" s="166">
        <f>VLOOKUP(A19,'Data '!A12:J47,2,0)</f>
        <v>0</v>
      </c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>
        <f t="shared" si="0"/>
        <v>0</v>
      </c>
      <c r="O19" s="168"/>
      <c r="S19" s="30">
        <f t="shared" si="1"/>
        <v>0</v>
      </c>
    </row>
    <row r="20" spans="1:19" ht="18" customHeight="1" x14ac:dyDescent="0.25">
      <c r="A20" s="29">
        <v>13</v>
      </c>
      <c r="B20" s="166">
        <f>VLOOKUP(A20,'Data '!A13:J48,3,0)</f>
        <v>0</v>
      </c>
      <c r="C20" s="166">
        <f>VLOOKUP(A20,'Data '!A13:J48,2,0)</f>
        <v>0</v>
      </c>
      <c r="D20" s="166"/>
      <c r="E20" s="166"/>
      <c r="F20" s="166"/>
      <c r="G20" s="166"/>
      <c r="H20" s="166"/>
      <c r="I20" s="166"/>
      <c r="J20" s="166"/>
      <c r="K20" s="166"/>
      <c r="L20" s="166"/>
      <c r="M20" s="166"/>
      <c r="N20" s="166">
        <f t="shared" si="0"/>
        <v>0</v>
      </c>
      <c r="O20" s="168"/>
      <c r="S20" s="30">
        <f t="shared" si="1"/>
        <v>0</v>
      </c>
    </row>
    <row r="21" spans="1:19" ht="18" customHeight="1" x14ac:dyDescent="0.25">
      <c r="A21" s="29">
        <v>14</v>
      </c>
      <c r="B21" s="166">
        <f>VLOOKUP(A21,'Data '!A14:J49,3,0)</f>
        <v>0</v>
      </c>
      <c r="C21" s="166">
        <f>VLOOKUP(A21,'Data '!A14:J49,2,0)</f>
        <v>0</v>
      </c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>
        <f t="shared" si="0"/>
        <v>0</v>
      </c>
      <c r="O21" s="168"/>
      <c r="S21" s="30">
        <f t="shared" si="1"/>
        <v>0</v>
      </c>
    </row>
    <row r="22" spans="1:19" ht="18" customHeight="1" x14ac:dyDescent="0.25">
      <c r="A22" s="29">
        <v>15</v>
      </c>
      <c r="B22" s="166">
        <f>VLOOKUP(A22,'Data '!A15:J50,3,0)</f>
        <v>0</v>
      </c>
      <c r="C22" s="166">
        <f>VLOOKUP(A22,'Data '!A15:J50,2,0)</f>
        <v>0</v>
      </c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>
        <f t="shared" si="0"/>
        <v>0</v>
      </c>
      <c r="O22" s="168"/>
      <c r="S22" s="30">
        <f t="shared" si="1"/>
        <v>0</v>
      </c>
    </row>
    <row r="23" spans="1:19" ht="18" customHeight="1" x14ac:dyDescent="0.25">
      <c r="A23" s="29">
        <v>16</v>
      </c>
      <c r="B23" s="166">
        <f>VLOOKUP(A23,'Data '!A16:J51,3,0)</f>
        <v>0</v>
      </c>
      <c r="C23" s="166">
        <f>VLOOKUP(A23,'Data '!A16:J51,2,0)</f>
        <v>0</v>
      </c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>
        <f t="shared" si="0"/>
        <v>0</v>
      </c>
      <c r="O23" s="168"/>
      <c r="S23" s="30">
        <f t="shared" si="1"/>
        <v>0</v>
      </c>
    </row>
    <row r="24" spans="1:19" ht="18" customHeight="1" x14ac:dyDescent="0.25">
      <c r="A24" s="29">
        <v>17</v>
      </c>
      <c r="B24" s="166">
        <f>VLOOKUP(A24,'Data '!A17:J52,3,0)</f>
        <v>0</v>
      </c>
      <c r="C24" s="166">
        <f>VLOOKUP(A24,'Data '!A17:J52,2,0)</f>
        <v>0</v>
      </c>
      <c r="D24" s="166"/>
      <c r="E24" s="166"/>
      <c r="F24" s="166"/>
      <c r="G24" s="166"/>
      <c r="H24" s="166"/>
      <c r="I24" s="166"/>
      <c r="J24" s="166"/>
      <c r="K24" s="166"/>
      <c r="L24" s="166"/>
      <c r="M24" s="166"/>
      <c r="N24" s="166">
        <f t="shared" si="0"/>
        <v>0</v>
      </c>
      <c r="O24" s="168"/>
      <c r="S24" s="90">
        <f t="shared" si="1"/>
        <v>0</v>
      </c>
    </row>
    <row r="25" spans="1:19" ht="18" customHeight="1" x14ac:dyDescent="0.25">
      <c r="A25" s="29">
        <v>18</v>
      </c>
      <c r="B25" s="166">
        <f>VLOOKUP(A25,'Data '!A18:J53,3,0)</f>
        <v>0</v>
      </c>
      <c r="C25" s="166">
        <f>VLOOKUP(A25,'Data '!A18:J53,2,0)</f>
        <v>0</v>
      </c>
      <c r="D25" s="166"/>
      <c r="E25" s="166"/>
      <c r="F25" s="166"/>
      <c r="G25" s="166"/>
      <c r="H25" s="166"/>
      <c r="I25" s="166"/>
      <c r="J25" s="166"/>
      <c r="K25" s="166"/>
      <c r="L25" s="166"/>
      <c r="M25" s="166"/>
      <c r="N25" s="166">
        <f t="shared" si="0"/>
        <v>0</v>
      </c>
      <c r="O25" s="168"/>
      <c r="S25" s="30">
        <f t="shared" si="1"/>
        <v>0</v>
      </c>
    </row>
    <row r="26" spans="1:19" ht="18" customHeight="1" x14ac:dyDescent="0.25">
      <c r="A26" s="29">
        <v>19</v>
      </c>
      <c r="B26" s="166">
        <f>VLOOKUP(A26,'Data '!A19:J54,3,0)</f>
        <v>0</v>
      </c>
      <c r="C26" s="166">
        <f>VLOOKUP(A26,'Data '!A19:J54,2,0)</f>
        <v>0</v>
      </c>
      <c r="D26" s="166"/>
      <c r="E26" s="166"/>
      <c r="F26" s="166"/>
      <c r="G26" s="166"/>
      <c r="H26" s="166"/>
      <c r="I26" s="166"/>
      <c r="J26" s="166"/>
      <c r="K26" s="166"/>
      <c r="L26" s="166"/>
      <c r="M26" s="166"/>
      <c r="N26" s="166">
        <f t="shared" si="0"/>
        <v>0</v>
      </c>
      <c r="O26" s="168"/>
      <c r="S26" s="30">
        <f t="shared" si="1"/>
        <v>0</v>
      </c>
    </row>
    <row r="27" spans="1:19" ht="18" customHeight="1" x14ac:dyDescent="0.25">
      <c r="A27" s="29">
        <v>20</v>
      </c>
      <c r="B27" s="166">
        <f>VLOOKUP(A27,'Data '!A20:J55,3,0)</f>
        <v>0</v>
      </c>
      <c r="C27" s="166">
        <f>VLOOKUP(A27,'Data '!A20:J55,2,0)</f>
        <v>0</v>
      </c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>
        <f t="shared" si="0"/>
        <v>0</v>
      </c>
      <c r="O27" s="168"/>
      <c r="S27" s="30">
        <f t="shared" si="1"/>
        <v>0</v>
      </c>
    </row>
    <row r="28" spans="1:19" ht="18" customHeight="1" x14ac:dyDescent="0.25">
      <c r="A28" s="29">
        <v>21</v>
      </c>
      <c r="B28" s="166">
        <f>VLOOKUP(A28,'Data '!A21:J56,3,0)</f>
        <v>0</v>
      </c>
      <c r="C28" s="166">
        <f>VLOOKUP(A28,'Data '!A21:J56,2,0)</f>
        <v>0</v>
      </c>
      <c r="D28" s="166"/>
      <c r="E28" s="166"/>
      <c r="F28" s="166"/>
      <c r="G28" s="166"/>
      <c r="H28" s="166"/>
      <c r="I28" s="166"/>
      <c r="J28" s="166"/>
      <c r="K28" s="166"/>
      <c r="L28" s="166"/>
      <c r="M28" s="166"/>
      <c r="N28" s="166">
        <f t="shared" si="0"/>
        <v>0</v>
      </c>
      <c r="O28" s="168"/>
      <c r="S28" s="30">
        <f t="shared" si="1"/>
        <v>0</v>
      </c>
    </row>
    <row r="30" spans="1:19" ht="18" customHeight="1" x14ac:dyDescent="0.2">
      <c r="K30" s="25" t="str">
        <f>'Data '!H38</f>
        <v>Tambak Jaya,                   September 2025</v>
      </c>
    </row>
    <row r="31" spans="1:19" ht="18" customHeight="1" x14ac:dyDescent="0.2">
      <c r="K31" s="25" t="s">
        <v>10</v>
      </c>
    </row>
    <row r="34" spans="11:11" ht="18" customHeight="1" x14ac:dyDescent="0.2">
      <c r="K34" s="25" t="s">
        <v>11</v>
      </c>
    </row>
  </sheetData>
  <mergeCells count="9">
    <mergeCell ref="A1:O1"/>
    <mergeCell ref="A2:O2"/>
    <mergeCell ref="A5:A7"/>
    <mergeCell ref="B5:B7"/>
    <mergeCell ref="C5:C7"/>
    <mergeCell ref="D5:M5"/>
    <mergeCell ref="N5:N7"/>
    <mergeCell ref="O5:O7"/>
    <mergeCell ref="D6:M6"/>
  </mergeCells>
  <conditionalFormatting sqref="O8:O28">
    <cfRule type="cellIs" dxfId="27" priority="9" operator="equal">
      <formula>"TIDAK$8:$8 LULUS"</formula>
    </cfRule>
    <cfRule type="cellIs" dxfId="26" priority="10" operator="equal">
      <formula>"LULUS"</formula>
    </cfRule>
    <cfRule type="cellIs" dxfId="25" priority="11" operator="between">
      <formula>"LULUS"</formula>
      <formula>"TIDAK$8:$8 LULUS"</formula>
    </cfRule>
    <cfRule type="dataBar" priority="1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{60B117A1-4A05-4F36-B1BC-3B974CBC6089}</x14:id>
        </ext>
      </extLst>
    </cfRule>
  </conditionalFormatting>
  <pageMargins left="0.7" right="0.7" top="0.75" bottom="0.75" header="0.3" footer="0.3"/>
  <pageSetup paperSize="9" scale="68" orientation="landscape" horizontalDpi="4294967293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0B117A1-4A05-4F36-B1BC-3B974CBC608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O8:O28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10A55-A577-4E6A-BC54-1E596C0B4A88}">
  <sheetPr>
    <pageSetUpPr fitToPage="1"/>
  </sheetPr>
  <dimension ref="A1:T40"/>
  <sheetViews>
    <sheetView view="pageBreakPreview" zoomScale="70" zoomScaleSheetLayoutView="70" workbookViewId="0">
      <selection activeCell="N8" sqref="N8:N28"/>
    </sheetView>
  </sheetViews>
  <sheetFormatPr defaultRowHeight="20.100000000000001" customHeight="1" x14ac:dyDescent="0.25"/>
  <cols>
    <col min="1" max="1" width="5.7109375" customWidth="1"/>
    <col min="2" max="2" width="23.42578125" customWidth="1"/>
    <col min="3" max="3" width="15.7109375" customWidth="1"/>
    <col min="4" max="13" width="6.7109375" customWidth="1"/>
    <col min="14" max="14" width="12.28515625" customWidth="1"/>
    <col min="15" max="16" width="12.7109375" customWidth="1"/>
    <col min="17" max="17" width="4.7109375" customWidth="1"/>
  </cols>
  <sheetData>
    <row r="1" spans="1:20" ht="20.100000000000001" customHeight="1" x14ac:dyDescent="0.25">
      <c r="A1" s="145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24"/>
    </row>
    <row r="2" spans="1:20" ht="20.100000000000001" customHeight="1" x14ac:dyDescent="0.25">
      <c r="A2" s="145" t="s">
        <v>12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24"/>
    </row>
    <row r="3" spans="1:20" ht="20.100000000000001" customHeight="1" x14ac:dyDescent="0.25">
      <c r="A3" s="2"/>
      <c r="B3" s="2"/>
      <c r="C3" s="7"/>
      <c r="D3" s="7"/>
      <c r="E3" s="7"/>
      <c r="F3" s="7"/>
      <c r="G3" s="7"/>
      <c r="H3" s="7"/>
      <c r="I3" s="7"/>
      <c r="J3" s="7"/>
      <c r="K3" s="7"/>
      <c r="L3" s="8" t="s">
        <v>13</v>
      </c>
      <c r="M3" s="2"/>
      <c r="N3" s="2" t="s">
        <v>16</v>
      </c>
      <c r="O3" s="7"/>
      <c r="P3" s="7"/>
    </row>
    <row r="4" spans="1:20" ht="1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20" ht="20.100000000000001" customHeight="1" x14ac:dyDescent="0.25">
      <c r="A5" s="119" t="s">
        <v>1</v>
      </c>
      <c r="B5" s="146" t="s">
        <v>2</v>
      </c>
      <c r="C5" s="149" t="s">
        <v>3</v>
      </c>
      <c r="D5" s="119" t="s">
        <v>36</v>
      </c>
      <c r="E5" s="119"/>
      <c r="F5" s="119"/>
      <c r="G5" s="119"/>
      <c r="H5" s="119"/>
      <c r="I5" s="119"/>
      <c r="J5" s="119"/>
      <c r="K5" s="119"/>
      <c r="L5" s="119"/>
      <c r="M5" s="119"/>
      <c r="N5" s="152" t="s">
        <v>7</v>
      </c>
      <c r="O5" s="119" t="s">
        <v>8</v>
      </c>
      <c r="P5" s="119"/>
    </row>
    <row r="6" spans="1:20" ht="20.100000000000001" customHeight="1" x14ac:dyDescent="0.25">
      <c r="A6" s="119"/>
      <c r="B6" s="147"/>
      <c r="C6" s="150"/>
      <c r="D6" s="155"/>
      <c r="E6" s="156"/>
      <c r="F6" s="156"/>
      <c r="G6" s="156"/>
      <c r="H6" s="156"/>
      <c r="I6" s="156"/>
      <c r="J6" s="156"/>
      <c r="K6" s="156"/>
      <c r="L6" s="156"/>
      <c r="M6" s="157"/>
      <c r="N6" s="153"/>
      <c r="O6" s="119"/>
      <c r="P6" s="119"/>
      <c r="R6" s="14"/>
    </row>
    <row r="7" spans="1:20" ht="20.100000000000001" customHeight="1" x14ac:dyDescent="0.25">
      <c r="A7" s="119"/>
      <c r="B7" s="148"/>
      <c r="C7" s="151"/>
      <c r="D7" s="1" t="s">
        <v>17</v>
      </c>
      <c r="E7" s="4">
        <v>1</v>
      </c>
      <c r="F7" s="4">
        <v>2</v>
      </c>
      <c r="G7" s="4">
        <v>3</v>
      </c>
      <c r="H7" s="4">
        <v>4</v>
      </c>
      <c r="I7" s="4">
        <v>5</v>
      </c>
      <c r="J7" s="4">
        <v>6</v>
      </c>
      <c r="K7" s="4" t="s">
        <v>18</v>
      </c>
      <c r="L7" s="4"/>
      <c r="M7" s="4"/>
      <c r="N7" s="154"/>
      <c r="O7" s="119"/>
      <c r="P7" s="119"/>
    </row>
    <row r="8" spans="1:20" ht="20.100000000000001" customHeight="1" x14ac:dyDescent="0.25">
      <c r="A8" s="4">
        <v>1</v>
      </c>
      <c r="B8" s="166" t="str">
        <f>VLOOKUP(A8,'Data '!A2:J36,3,0)</f>
        <v>Ahmad Alhabib Ramadhan</v>
      </c>
      <c r="C8" s="166" t="str">
        <f>VLOOKUP(A8,'Data '!A2:J36,2,0)</f>
        <v>Utsmaniyyah III</v>
      </c>
      <c r="D8" s="3"/>
      <c r="E8" s="3"/>
      <c r="F8" s="3"/>
      <c r="G8" s="3"/>
      <c r="H8" s="3"/>
      <c r="I8" s="3"/>
      <c r="J8" s="3"/>
      <c r="K8" s="3"/>
      <c r="L8" s="3"/>
      <c r="M8" s="3"/>
      <c r="N8" s="19">
        <f>SUM(D8:M8)</f>
        <v>0</v>
      </c>
      <c r="O8" s="19"/>
      <c r="P8" s="19"/>
      <c r="R8" s="3">
        <v>0.8</v>
      </c>
      <c r="S8" s="3">
        <v>0.8</v>
      </c>
      <c r="T8" s="3">
        <f>SUM(D8:K8)</f>
        <v>0</v>
      </c>
    </row>
    <row r="9" spans="1:20" ht="20.100000000000001" customHeight="1" x14ac:dyDescent="0.25">
      <c r="A9" s="4">
        <v>2</v>
      </c>
      <c r="B9" s="166" t="str">
        <f>VLOOKUP(A9,'Data '!A3:J37,3,0)</f>
        <v>Aulia Zahra El Fikri</v>
      </c>
      <c r="C9" s="166" t="str">
        <f>VLOOKUP(A9,'Data '!A3:J37,2,0)</f>
        <v>Utsmaniyyah III</v>
      </c>
      <c r="D9" s="3"/>
      <c r="E9" s="3"/>
      <c r="F9" s="3"/>
      <c r="G9" s="3"/>
      <c r="H9" s="3"/>
      <c r="I9" s="3"/>
      <c r="J9" s="3"/>
      <c r="K9" s="3"/>
      <c r="L9" s="3"/>
      <c r="M9" s="3"/>
      <c r="N9" s="19">
        <f t="shared" ref="N9:N28" si="0">SUM(D9:M9)</f>
        <v>0</v>
      </c>
      <c r="O9" s="19"/>
      <c r="P9" s="19"/>
      <c r="R9" s="3">
        <v>0.9</v>
      </c>
      <c r="S9" s="3">
        <v>0.8</v>
      </c>
      <c r="T9" s="3">
        <f t="shared" ref="T9:T28" si="1">SUM(D9:K9)</f>
        <v>0</v>
      </c>
    </row>
    <row r="10" spans="1:20" ht="20.100000000000001" customHeight="1" x14ac:dyDescent="0.25">
      <c r="A10" s="4">
        <v>3</v>
      </c>
      <c r="B10" s="166" t="str">
        <f>VLOOKUP(A10,'Data '!A4:J38,3,0)</f>
        <v>Nur Habibi</v>
      </c>
      <c r="C10" s="166" t="str">
        <f>VLOOKUP(A10,'Data '!A4:J38,2,0)</f>
        <v>Utsmaniyyah III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19">
        <f t="shared" si="0"/>
        <v>0</v>
      </c>
      <c r="O10" s="19"/>
      <c r="P10" s="19"/>
      <c r="R10" s="3">
        <v>0.8</v>
      </c>
      <c r="S10" s="3">
        <v>0.8</v>
      </c>
      <c r="T10" s="3">
        <f t="shared" si="1"/>
        <v>0</v>
      </c>
    </row>
    <row r="11" spans="1:20" ht="20.100000000000001" customHeight="1" x14ac:dyDescent="0.25">
      <c r="A11" s="4">
        <v>4</v>
      </c>
      <c r="B11" s="166" t="str">
        <f>VLOOKUP(A11,'Data '!A5:J39,3,0)</f>
        <v>M. Fatan Azzamy Isma'il</v>
      </c>
      <c r="C11" s="166" t="str">
        <f>VLOOKUP(A11,'Data '!A5:J39,2,0)</f>
        <v>Utsmaniyyah III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19">
        <f t="shared" si="0"/>
        <v>0</v>
      </c>
      <c r="O11" s="19"/>
      <c r="P11" s="19"/>
      <c r="R11" s="3">
        <v>1</v>
      </c>
      <c r="S11" s="3">
        <v>1</v>
      </c>
      <c r="T11" s="3">
        <f t="shared" si="1"/>
        <v>0</v>
      </c>
    </row>
    <row r="12" spans="1:20" ht="20.100000000000001" customHeight="1" x14ac:dyDescent="0.25">
      <c r="A12" s="4">
        <v>5</v>
      </c>
      <c r="B12" s="166" t="str">
        <f>VLOOKUP(A12,'Data '!A6:J40,3,0)</f>
        <v>M. Mahi Mutawakkil</v>
      </c>
      <c r="C12" s="166" t="str">
        <f>VLOOKUP(A12,'Data '!A6:J40,2,0)</f>
        <v>Utsmaniyyah III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19">
        <f t="shared" si="0"/>
        <v>0</v>
      </c>
      <c r="O12" s="19"/>
      <c r="P12" s="19"/>
      <c r="R12" s="3">
        <v>0.9</v>
      </c>
      <c r="S12" s="3">
        <v>0.9</v>
      </c>
      <c r="T12" s="3">
        <f t="shared" si="1"/>
        <v>0</v>
      </c>
    </row>
    <row r="13" spans="1:20" ht="20.100000000000001" customHeight="1" x14ac:dyDescent="0.25">
      <c r="A13" s="4">
        <v>6</v>
      </c>
      <c r="B13" s="166" t="str">
        <f>VLOOKUP(A13,'Data '!A7:J41,3,0)</f>
        <v>Renoval Faiz Al Ghifari</v>
      </c>
      <c r="C13" s="166" t="str">
        <f>VLOOKUP(A13,'Data '!A7:J41,2,0)</f>
        <v>Utsmaniyyah III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19">
        <f t="shared" si="0"/>
        <v>0</v>
      </c>
      <c r="O13" s="19"/>
      <c r="P13" s="19"/>
      <c r="R13" s="3">
        <v>0.8</v>
      </c>
      <c r="S13" s="3">
        <v>0.8</v>
      </c>
      <c r="T13" s="3">
        <f t="shared" si="1"/>
        <v>0</v>
      </c>
    </row>
    <row r="14" spans="1:20" ht="20.100000000000001" customHeight="1" x14ac:dyDescent="0.25">
      <c r="A14" s="4">
        <v>7</v>
      </c>
      <c r="B14" s="166" t="str">
        <f>VLOOKUP(A14,'Data '!A8:J42,3,0)</f>
        <v>Sindi Wulandari</v>
      </c>
      <c r="C14" s="166" t="str">
        <f>VLOOKUP(A14,'Data '!A8:J42,2,0)</f>
        <v>Utsmaniyyah III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19">
        <f t="shared" si="0"/>
        <v>0</v>
      </c>
      <c r="O14" s="19"/>
      <c r="P14" s="19"/>
      <c r="R14" s="3">
        <v>1</v>
      </c>
      <c r="S14" s="3">
        <v>1</v>
      </c>
      <c r="T14" s="3">
        <f t="shared" si="1"/>
        <v>0</v>
      </c>
    </row>
    <row r="15" spans="1:20" ht="20.100000000000001" customHeight="1" x14ac:dyDescent="0.25">
      <c r="A15" s="4">
        <v>8</v>
      </c>
      <c r="B15" s="166">
        <f>VLOOKUP(A15,'Data '!A8:J43,3,0)</f>
        <v>0</v>
      </c>
      <c r="C15" s="166">
        <f>VLOOKUP(A15,'Data '!A8:J43,2,0)</f>
        <v>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19">
        <f t="shared" si="0"/>
        <v>0</v>
      </c>
      <c r="O15" s="19"/>
      <c r="P15" s="19"/>
      <c r="R15" s="3">
        <v>1</v>
      </c>
      <c r="S15" s="3">
        <v>1</v>
      </c>
      <c r="T15" s="3">
        <f t="shared" si="1"/>
        <v>0</v>
      </c>
    </row>
    <row r="16" spans="1:20" ht="20.100000000000001" customHeight="1" x14ac:dyDescent="0.25">
      <c r="A16" s="4">
        <v>9</v>
      </c>
      <c r="B16" s="166">
        <f>VLOOKUP(A16,'Data '!A9:J44,3,0)</f>
        <v>0</v>
      </c>
      <c r="C16" s="166">
        <f>VLOOKUP(A16,'Data '!A9:J44,2,0)</f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19">
        <f t="shared" si="0"/>
        <v>0</v>
      </c>
      <c r="O16" s="19"/>
      <c r="P16" s="19"/>
      <c r="R16" s="3">
        <v>1</v>
      </c>
      <c r="S16" s="3">
        <v>1</v>
      </c>
      <c r="T16" s="3">
        <f t="shared" si="1"/>
        <v>0</v>
      </c>
    </row>
    <row r="17" spans="1:20" ht="20.100000000000001" customHeight="1" x14ac:dyDescent="0.25">
      <c r="A17" s="4">
        <v>10</v>
      </c>
      <c r="B17" s="166">
        <f>VLOOKUP(A17,'Data '!A10:J45,3,0)</f>
        <v>0</v>
      </c>
      <c r="C17" s="166">
        <f>VLOOKUP(A17,'Data '!A10:J45,2,0)</f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19">
        <f t="shared" si="0"/>
        <v>0</v>
      </c>
      <c r="O17" s="19"/>
      <c r="P17" s="19"/>
      <c r="R17" s="3">
        <v>1</v>
      </c>
      <c r="S17" s="3">
        <v>1</v>
      </c>
      <c r="T17" s="3">
        <f t="shared" si="1"/>
        <v>0</v>
      </c>
    </row>
    <row r="18" spans="1:20" ht="20.100000000000001" customHeight="1" x14ac:dyDescent="0.25">
      <c r="A18" s="4">
        <v>11</v>
      </c>
      <c r="B18" s="166">
        <f>VLOOKUP(A18,'Data '!A11:J46,3,0)</f>
        <v>0</v>
      </c>
      <c r="C18" s="166">
        <f>VLOOKUP(A18,'Data '!A11:J46,2,0)</f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19">
        <f t="shared" si="0"/>
        <v>0</v>
      </c>
      <c r="O18" s="19"/>
      <c r="P18" s="19"/>
      <c r="R18" s="3">
        <v>0.9</v>
      </c>
      <c r="S18" s="3">
        <v>0.9</v>
      </c>
      <c r="T18" s="3">
        <f t="shared" si="1"/>
        <v>0</v>
      </c>
    </row>
    <row r="19" spans="1:20" ht="20.100000000000001" customHeight="1" x14ac:dyDescent="0.25">
      <c r="A19" s="4">
        <v>12</v>
      </c>
      <c r="B19" s="166">
        <f>VLOOKUP(A19,'Data '!A12:J47,3,0)</f>
        <v>0</v>
      </c>
      <c r="C19" s="166">
        <f>VLOOKUP(A19,'Data '!A12:J47,2,0)</f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19">
        <f t="shared" si="0"/>
        <v>0</v>
      </c>
      <c r="O19" s="19"/>
      <c r="P19" s="19"/>
      <c r="R19" s="3">
        <v>1</v>
      </c>
      <c r="S19" s="3">
        <v>0.9</v>
      </c>
      <c r="T19" s="3">
        <f t="shared" si="1"/>
        <v>0</v>
      </c>
    </row>
    <row r="20" spans="1:20" ht="20.100000000000001" customHeight="1" x14ac:dyDescent="0.25">
      <c r="A20" s="4">
        <v>13</v>
      </c>
      <c r="B20" s="166">
        <f>VLOOKUP(A20,'Data '!A13:J48,3,0)</f>
        <v>0</v>
      </c>
      <c r="C20" s="166">
        <f>VLOOKUP(A20,'Data '!A13:J48,2,0)</f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19">
        <f t="shared" si="0"/>
        <v>0</v>
      </c>
      <c r="O20" s="19"/>
      <c r="P20" s="19"/>
      <c r="R20" s="3">
        <v>0.9</v>
      </c>
      <c r="S20" s="3">
        <v>1</v>
      </c>
      <c r="T20" s="3">
        <f t="shared" si="1"/>
        <v>0</v>
      </c>
    </row>
    <row r="21" spans="1:20" ht="20.100000000000001" customHeight="1" x14ac:dyDescent="0.25">
      <c r="A21" s="4">
        <v>14</v>
      </c>
      <c r="B21" s="166">
        <f>VLOOKUP(A21,'Data '!A14:J49,3,0)</f>
        <v>0</v>
      </c>
      <c r="C21" s="166">
        <f>VLOOKUP(A21,'Data '!A14:J49,2,0)</f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19">
        <f t="shared" si="0"/>
        <v>0</v>
      </c>
      <c r="O21" s="19"/>
      <c r="P21" s="19"/>
      <c r="R21" s="3">
        <v>2</v>
      </c>
      <c r="S21" s="3">
        <v>1</v>
      </c>
      <c r="T21" s="3">
        <f t="shared" si="1"/>
        <v>0</v>
      </c>
    </row>
    <row r="22" spans="1:20" ht="20.100000000000001" customHeight="1" x14ac:dyDescent="0.25">
      <c r="A22" s="4">
        <v>15</v>
      </c>
      <c r="B22" s="166">
        <f>VLOOKUP(A22,'Data '!A15:J50,3,0)</f>
        <v>0</v>
      </c>
      <c r="C22" s="166">
        <f>VLOOKUP(A22,'Data '!A15:J50,2,0)</f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19">
        <f t="shared" si="0"/>
        <v>0</v>
      </c>
      <c r="O22" s="19"/>
      <c r="P22" s="19"/>
      <c r="R22" s="3">
        <v>1</v>
      </c>
      <c r="S22" s="3">
        <v>1</v>
      </c>
      <c r="T22" s="3">
        <f t="shared" si="1"/>
        <v>0</v>
      </c>
    </row>
    <row r="23" spans="1:20" ht="20.100000000000001" customHeight="1" x14ac:dyDescent="0.25">
      <c r="A23" s="4">
        <v>16</v>
      </c>
      <c r="B23" s="166">
        <f>VLOOKUP(A23,'Data '!A16:J51,3,0)</f>
        <v>0</v>
      </c>
      <c r="C23" s="166">
        <f>VLOOKUP(A23,'Data '!A16:J51,2,0)</f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19">
        <f t="shared" si="0"/>
        <v>0</v>
      </c>
      <c r="O23" s="19"/>
      <c r="P23" s="19"/>
      <c r="R23" s="3">
        <v>0.9</v>
      </c>
      <c r="S23" s="3">
        <v>0.8</v>
      </c>
      <c r="T23" s="3">
        <f t="shared" si="1"/>
        <v>0</v>
      </c>
    </row>
    <row r="24" spans="1:20" ht="20.100000000000001" customHeight="1" x14ac:dyDescent="0.25">
      <c r="A24" s="4">
        <v>17</v>
      </c>
      <c r="B24" s="166">
        <f>VLOOKUP(A24,'Data '!A17:J52,3,0)</f>
        <v>0</v>
      </c>
      <c r="C24" s="166">
        <f>VLOOKUP(A24,'Data '!A17:J52,2,0)</f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19">
        <f t="shared" si="0"/>
        <v>0</v>
      </c>
      <c r="O24" s="19"/>
      <c r="P24" s="19"/>
      <c r="R24" s="3">
        <v>1</v>
      </c>
      <c r="S24" s="3">
        <v>1</v>
      </c>
      <c r="T24" s="3">
        <f t="shared" si="1"/>
        <v>0</v>
      </c>
    </row>
    <row r="25" spans="1:20" ht="20.100000000000001" customHeight="1" x14ac:dyDescent="0.25">
      <c r="A25" s="4">
        <v>18</v>
      </c>
      <c r="B25" s="166">
        <f>VLOOKUP(A25,'Data '!A18:J53,3,0)</f>
        <v>0</v>
      </c>
      <c r="C25" s="166">
        <f>VLOOKUP(A25,'Data '!A18:J53,2,0)</f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19">
        <f t="shared" si="0"/>
        <v>0</v>
      </c>
      <c r="O25" s="19"/>
      <c r="P25" s="19"/>
      <c r="R25" s="3">
        <v>0.8</v>
      </c>
      <c r="S25" s="3">
        <v>0.8</v>
      </c>
      <c r="T25" s="3">
        <f t="shared" si="1"/>
        <v>0</v>
      </c>
    </row>
    <row r="26" spans="1:20" ht="20.100000000000001" customHeight="1" x14ac:dyDescent="0.25">
      <c r="A26" s="4">
        <v>19</v>
      </c>
      <c r="B26" s="166">
        <f>VLOOKUP(A26,'Data '!A19:J54,3,0)</f>
        <v>0</v>
      </c>
      <c r="C26" s="166">
        <f>VLOOKUP(A26,'Data '!A19:J54,2,0)</f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19">
        <f t="shared" si="0"/>
        <v>0</v>
      </c>
      <c r="O26" s="19"/>
      <c r="P26" s="19"/>
      <c r="R26" s="3">
        <v>0.8</v>
      </c>
      <c r="S26" s="3">
        <v>0.7</v>
      </c>
      <c r="T26" s="3">
        <f t="shared" si="1"/>
        <v>0</v>
      </c>
    </row>
    <row r="27" spans="1:20" ht="20.100000000000001" customHeight="1" x14ac:dyDescent="0.25">
      <c r="A27" s="4">
        <v>20</v>
      </c>
      <c r="B27" s="166">
        <f>VLOOKUP(A27,'Data '!A20:J55,3,0)</f>
        <v>0</v>
      </c>
      <c r="C27" s="166">
        <f>VLOOKUP(A27,'Data '!A20:J55,2,0)</f>
        <v>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19">
        <f t="shared" si="0"/>
        <v>0</v>
      </c>
      <c r="O27" s="19"/>
      <c r="P27" s="19"/>
      <c r="R27" s="3">
        <v>0.8</v>
      </c>
      <c r="S27" s="3">
        <v>0.8</v>
      </c>
      <c r="T27" s="3">
        <f t="shared" si="1"/>
        <v>0</v>
      </c>
    </row>
    <row r="28" spans="1:20" ht="20.100000000000001" customHeight="1" x14ac:dyDescent="0.25">
      <c r="A28" s="4">
        <v>21</v>
      </c>
      <c r="B28" s="166">
        <f>VLOOKUP(A28,'Data '!A21:J56,3,0)</f>
        <v>0</v>
      </c>
      <c r="C28" s="166">
        <f>VLOOKUP(A28,'Data '!A21:J56,2,0)</f>
        <v>0</v>
      </c>
      <c r="D28" s="3"/>
      <c r="E28" s="3"/>
      <c r="F28" s="3"/>
      <c r="G28" s="3"/>
      <c r="H28" s="3"/>
      <c r="I28" s="3"/>
      <c r="J28" s="3"/>
      <c r="K28" s="3"/>
      <c r="L28" s="35"/>
      <c r="M28" s="35"/>
      <c r="N28" s="19">
        <f t="shared" si="0"/>
        <v>0</v>
      </c>
      <c r="O28" s="19"/>
      <c r="P28" s="19"/>
      <c r="R28" s="3">
        <v>0.6</v>
      </c>
      <c r="S28" s="3">
        <v>0.8</v>
      </c>
      <c r="T28" s="3">
        <f t="shared" si="1"/>
        <v>0</v>
      </c>
    </row>
    <row r="29" spans="1:20" ht="20.100000000000001" customHeight="1" x14ac:dyDescent="0.25">
      <c r="A29" s="13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20" ht="20.100000000000001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t="str">
        <f>'Data '!H38</f>
        <v>Tambak Jaya,                   September 2025</v>
      </c>
      <c r="L30" s="2"/>
      <c r="M30" s="2"/>
      <c r="N30" s="2"/>
      <c r="O30" s="2"/>
      <c r="P30" s="2"/>
    </row>
    <row r="31" spans="1:20" ht="20.100000000000001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 t="s">
        <v>10</v>
      </c>
      <c r="L31" s="2"/>
      <c r="M31" s="2"/>
      <c r="N31" s="2"/>
      <c r="O31" s="2"/>
      <c r="P31" s="2"/>
    </row>
    <row r="32" spans="1:20" ht="20.100000000000001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ht="20.100000000000001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ht="20.100000000000001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 t="s">
        <v>11</v>
      </c>
      <c r="L34" s="2"/>
      <c r="M34" s="2"/>
      <c r="N34" s="2"/>
      <c r="O34" s="2"/>
      <c r="P34" s="2"/>
    </row>
    <row r="35" spans="1:16" ht="20.100000000000001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ht="20.100000000000001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ht="20.100000000000001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ht="20.100000000000001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ht="20.100000000000001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ht="20.100000000000001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</sheetData>
  <mergeCells count="9">
    <mergeCell ref="A1:O1"/>
    <mergeCell ref="A2:O2"/>
    <mergeCell ref="A5:A7"/>
    <mergeCell ref="B5:B7"/>
    <mergeCell ref="C5:C7"/>
    <mergeCell ref="D5:M5"/>
    <mergeCell ref="N5:N7"/>
    <mergeCell ref="O5:P7"/>
    <mergeCell ref="D6:M6"/>
  </mergeCells>
  <conditionalFormatting sqref="O8:O28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{2AA360A3-33BE-4AA7-8E15-561EECEADAA6}</x14:id>
        </ext>
      </extLst>
    </cfRule>
  </conditionalFormatting>
  <conditionalFormatting sqref="O8:P28">
    <cfRule type="cellIs" dxfId="24" priority="1" operator="equal">
      <formula>"TIDAK$8:$8 LULUS"</formula>
    </cfRule>
    <cfRule type="cellIs" dxfId="23" priority="2" operator="equal">
      <formula>"LULUS"</formula>
    </cfRule>
    <cfRule type="cellIs" dxfId="22" priority="3" operator="between">
      <formula>"LULUS"</formula>
      <formula>"TIDAK$8:$8 LULUS"</formula>
    </cfRule>
  </conditionalFormatting>
  <conditionalFormatting sqref="P8:P28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{3491967A-2FF0-4B0E-8048-A4FF21BBAEC5}</x14:id>
        </ext>
      </extLst>
    </cfRule>
  </conditionalFormatting>
  <pageMargins left="1.5" right="0.7" top="0.75" bottom="0.75" header="0.3" footer="0.3"/>
  <pageSetup paperSize="9" scale="66" orientation="landscape" horizontalDpi="4294967293" verticalDpi="0" r:id="rId1"/>
  <colBreaks count="1" manualBreakCount="1">
    <brk id="16" max="1048575" man="1"/>
  </col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AA360A3-33BE-4AA7-8E15-561EECEADA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O8:O28</xm:sqref>
        </x14:conditionalFormatting>
        <x14:conditionalFormatting xmlns:xm="http://schemas.microsoft.com/office/excel/2006/main">
          <x14:cfRule type="dataBar" id="{3491967A-2FF0-4B0E-8048-A4FF21BBAE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P8:P28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S33"/>
  <sheetViews>
    <sheetView view="pageBreakPreview" topLeftCell="A4" zoomScale="70" zoomScaleSheetLayoutView="70" workbookViewId="0">
      <selection activeCell="N8" sqref="N8:N28"/>
    </sheetView>
  </sheetViews>
  <sheetFormatPr defaultRowHeight="20.100000000000001" customHeight="1" x14ac:dyDescent="0.25"/>
  <cols>
    <col min="1" max="1" width="5.7109375" customWidth="1"/>
    <col min="2" max="2" width="31.28515625" customWidth="1"/>
    <col min="3" max="3" width="15.7109375" customWidth="1"/>
    <col min="4" max="10" width="7.7109375" customWidth="1"/>
    <col min="11" max="11" width="9.140625" customWidth="1"/>
    <col min="12" max="13" width="7.7109375" customWidth="1"/>
    <col min="14" max="14" width="13.28515625" customWidth="1"/>
    <col min="15" max="15" width="16.28515625" customWidth="1"/>
  </cols>
  <sheetData>
    <row r="1" spans="1:19" ht="20.100000000000001" customHeight="1" x14ac:dyDescent="0.25">
      <c r="A1" s="145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</row>
    <row r="2" spans="1:19" ht="20.100000000000001" customHeight="1" x14ac:dyDescent="0.25">
      <c r="A2" s="145" t="s">
        <v>12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</row>
    <row r="3" spans="1:19" ht="20.100000000000001" customHeight="1" x14ac:dyDescent="0.25">
      <c r="A3" s="2"/>
      <c r="B3" s="2"/>
      <c r="C3" s="7"/>
      <c r="D3" s="7"/>
      <c r="E3" s="7"/>
      <c r="F3" s="7"/>
      <c r="G3" s="7"/>
      <c r="H3" s="7"/>
      <c r="I3" s="7"/>
      <c r="J3" s="7"/>
      <c r="K3" s="7"/>
      <c r="L3" s="8" t="s">
        <v>13</v>
      </c>
      <c r="M3" s="2"/>
      <c r="N3" s="2" t="s">
        <v>39</v>
      </c>
      <c r="O3" s="7"/>
    </row>
    <row r="4" spans="1:19" ht="1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9" ht="20.100000000000001" customHeight="1" x14ac:dyDescent="0.25">
      <c r="A5" s="119" t="s">
        <v>1</v>
      </c>
      <c r="B5" s="146" t="s">
        <v>2</v>
      </c>
      <c r="C5" s="149" t="s">
        <v>3</v>
      </c>
      <c r="D5" s="119" t="s">
        <v>40</v>
      </c>
      <c r="E5" s="119"/>
      <c r="F5" s="119"/>
      <c r="G5" s="119"/>
      <c r="H5" s="119"/>
      <c r="I5" s="119"/>
      <c r="J5" s="119"/>
      <c r="K5" s="119"/>
      <c r="L5" s="119"/>
      <c r="M5" s="119"/>
      <c r="N5" s="152" t="s">
        <v>7</v>
      </c>
      <c r="O5" s="146" t="s">
        <v>8</v>
      </c>
    </row>
    <row r="6" spans="1:19" ht="54.75" customHeight="1" x14ac:dyDescent="0.25">
      <c r="A6" s="119"/>
      <c r="B6" s="147"/>
      <c r="C6" s="150"/>
      <c r="D6" s="10" t="s">
        <v>41</v>
      </c>
      <c r="E6" s="10" t="s">
        <v>42</v>
      </c>
      <c r="F6" s="10" t="s">
        <v>43</v>
      </c>
      <c r="G6" s="10" t="s">
        <v>44</v>
      </c>
      <c r="H6" s="10" t="s">
        <v>45</v>
      </c>
      <c r="I6" s="10" t="s">
        <v>46</v>
      </c>
      <c r="J6" s="10" t="s">
        <v>54</v>
      </c>
      <c r="K6" s="10" t="s">
        <v>47</v>
      </c>
      <c r="L6" s="10" t="s">
        <v>48</v>
      </c>
      <c r="M6" s="10" t="s">
        <v>49</v>
      </c>
      <c r="N6" s="153"/>
      <c r="O6" s="147"/>
    </row>
    <row r="7" spans="1:19" ht="20.100000000000001" customHeight="1" x14ac:dyDescent="0.25">
      <c r="A7" s="119"/>
      <c r="B7" s="148"/>
      <c r="C7" s="151"/>
      <c r="D7" s="11">
        <v>1</v>
      </c>
      <c r="E7" s="11">
        <v>1</v>
      </c>
      <c r="F7" s="11" t="s">
        <v>50</v>
      </c>
      <c r="G7" s="11" t="s">
        <v>51</v>
      </c>
      <c r="H7" s="11">
        <v>1</v>
      </c>
      <c r="I7" s="11" t="s">
        <v>51</v>
      </c>
      <c r="J7" s="11" t="s">
        <v>51</v>
      </c>
      <c r="K7" s="11">
        <v>1</v>
      </c>
      <c r="L7" s="11" t="s">
        <v>50</v>
      </c>
      <c r="M7" s="11" t="s">
        <v>51</v>
      </c>
      <c r="N7" s="154"/>
      <c r="O7" s="148"/>
    </row>
    <row r="8" spans="1:19" ht="20.100000000000001" customHeight="1" x14ac:dyDescent="0.25">
      <c r="A8" s="4">
        <v>1</v>
      </c>
      <c r="B8" s="166" t="str">
        <f>VLOOKUP(A8,'Data '!A2:J36,3,0)</f>
        <v>Ahmad Alhabib Ramadhan</v>
      </c>
      <c r="C8" s="166" t="str">
        <f>VLOOKUP(A8,'Data '!A2:J36,2,0)</f>
        <v>Utsmaniyyah III</v>
      </c>
      <c r="D8" s="3"/>
      <c r="E8" s="3"/>
      <c r="F8" s="3"/>
      <c r="G8" s="3"/>
      <c r="H8" s="3"/>
      <c r="I8" s="3"/>
      <c r="J8" s="3"/>
      <c r="K8" s="3"/>
      <c r="L8" s="3"/>
      <c r="M8" s="3"/>
      <c r="N8" s="19">
        <f>SUM(D8:M8)</f>
        <v>0</v>
      </c>
      <c r="O8" s="19"/>
      <c r="R8" s="3">
        <f>SUM(D8:M8)</f>
        <v>0</v>
      </c>
      <c r="S8" s="19" t="str">
        <f>IF(R8&gt;=70,"LULUS","TIDAK LULUS")</f>
        <v>TIDAK LULUS</v>
      </c>
    </row>
    <row r="9" spans="1:19" ht="20.100000000000001" customHeight="1" x14ac:dyDescent="0.25">
      <c r="A9" s="4">
        <v>2</v>
      </c>
      <c r="B9" s="166" t="str">
        <f>VLOOKUP(A9,'Data '!A3:J37,3,0)</f>
        <v>Aulia Zahra El Fikri</v>
      </c>
      <c r="C9" s="166" t="str">
        <f>VLOOKUP(A9,'Data '!A3:J37,2,0)</f>
        <v>Utsmaniyyah III</v>
      </c>
      <c r="D9" s="3"/>
      <c r="E9" s="3"/>
      <c r="F9" s="3"/>
      <c r="G9" s="3"/>
      <c r="H9" s="3"/>
      <c r="I9" s="3"/>
      <c r="J9" s="3"/>
      <c r="K9" s="3"/>
      <c r="L9" s="3"/>
      <c r="M9" s="3"/>
      <c r="N9" s="19">
        <f t="shared" ref="N9:N28" si="0">SUM(D9:M9)</f>
        <v>0</v>
      </c>
      <c r="O9" s="19"/>
      <c r="R9" s="3">
        <f t="shared" ref="R9:R28" si="1">SUM(D9:M9)</f>
        <v>0</v>
      </c>
      <c r="S9" s="19" t="str">
        <f t="shared" ref="S9:S28" si="2">IF(R9&gt;=70,"LULUS","TIDAK LULUS")</f>
        <v>TIDAK LULUS</v>
      </c>
    </row>
    <row r="10" spans="1:19" ht="20.100000000000001" customHeight="1" x14ac:dyDescent="0.25">
      <c r="A10" s="4">
        <v>3</v>
      </c>
      <c r="B10" s="166" t="str">
        <f>VLOOKUP(A10,'Data '!A4:J38,3,0)</f>
        <v>Nur Habibi</v>
      </c>
      <c r="C10" s="166" t="str">
        <f>VLOOKUP(A10,'Data '!A4:J38,2,0)</f>
        <v>Utsmaniyyah III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19">
        <f t="shared" si="0"/>
        <v>0</v>
      </c>
      <c r="O10" s="19"/>
      <c r="R10" s="3">
        <f t="shared" si="1"/>
        <v>0</v>
      </c>
      <c r="S10" s="19" t="str">
        <f t="shared" si="2"/>
        <v>TIDAK LULUS</v>
      </c>
    </row>
    <row r="11" spans="1:19" ht="20.100000000000001" customHeight="1" x14ac:dyDescent="0.25">
      <c r="A11" s="4">
        <v>4</v>
      </c>
      <c r="B11" s="166" t="str">
        <f>VLOOKUP(A11,'Data '!A5:J39,3,0)</f>
        <v>M. Fatan Azzamy Isma'il</v>
      </c>
      <c r="C11" s="166" t="str">
        <f>VLOOKUP(A11,'Data '!A5:J39,2,0)</f>
        <v>Utsmaniyyah III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19">
        <f t="shared" si="0"/>
        <v>0</v>
      </c>
      <c r="O11" s="19"/>
      <c r="R11" s="3">
        <f t="shared" si="1"/>
        <v>0</v>
      </c>
      <c r="S11" s="19" t="str">
        <f t="shared" si="2"/>
        <v>TIDAK LULUS</v>
      </c>
    </row>
    <row r="12" spans="1:19" ht="20.100000000000001" customHeight="1" x14ac:dyDescent="0.25">
      <c r="A12" s="4">
        <v>5</v>
      </c>
      <c r="B12" s="166" t="str">
        <f>VLOOKUP(A12,'Data '!A6:J40,3,0)</f>
        <v>M. Mahi Mutawakkil</v>
      </c>
      <c r="C12" s="166" t="str">
        <f>VLOOKUP(A12,'Data '!A6:J40,2,0)</f>
        <v>Utsmaniyyah III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19">
        <f t="shared" si="0"/>
        <v>0</v>
      </c>
      <c r="O12" s="19"/>
      <c r="R12" s="3">
        <f t="shared" si="1"/>
        <v>0</v>
      </c>
      <c r="S12" s="19" t="str">
        <f t="shared" si="2"/>
        <v>TIDAK LULUS</v>
      </c>
    </row>
    <row r="13" spans="1:19" ht="20.100000000000001" customHeight="1" x14ac:dyDescent="0.25">
      <c r="A13" s="4">
        <v>6</v>
      </c>
      <c r="B13" s="166" t="str">
        <f>VLOOKUP(A13,'Data '!A7:J41,3,0)</f>
        <v>Renoval Faiz Al Ghifari</v>
      </c>
      <c r="C13" s="166" t="str">
        <f>VLOOKUP(A13,'Data '!A7:J41,2,0)</f>
        <v>Utsmaniyyah III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19">
        <f t="shared" si="0"/>
        <v>0</v>
      </c>
      <c r="O13" s="19"/>
      <c r="R13" s="3">
        <f t="shared" si="1"/>
        <v>0</v>
      </c>
      <c r="S13" s="19" t="str">
        <f t="shared" si="2"/>
        <v>TIDAK LULUS</v>
      </c>
    </row>
    <row r="14" spans="1:19" ht="20.100000000000001" customHeight="1" x14ac:dyDescent="0.25">
      <c r="A14" s="4">
        <v>7</v>
      </c>
      <c r="B14" s="166" t="str">
        <f>VLOOKUP(A14,'Data '!A8:J42,3,0)</f>
        <v>Sindi Wulandari</v>
      </c>
      <c r="C14" s="166" t="str">
        <f>VLOOKUP(A14,'Data '!A8:J42,2,0)</f>
        <v>Utsmaniyyah III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19">
        <f t="shared" si="0"/>
        <v>0</v>
      </c>
      <c r="O14" s="19"/>
      <c r="R14" s="3">
        <f t="shared" si="1"/>
        <v>0</v>
      </c>
      <c r="S14" s="19" t="str">
        <f t="shared" si="2"/>
        <v>TIDAK LULUS</v>
      </c>
    </row>
    <row r="15" spans="1:19" ht="20.100000000000001" customHeight="1" x14ac:dyDescent="0.25">
      <c r="A15" s="4">
        <v>8</v>
      </c>
      <c r="B15" s="166">
        <f>VLOOKUP(A15,'Data '!A8:J43,3,0)</f>
        <v>0</v>
      </c>
      <c r="C15" s="166">
        <f>VLOOKUP(A15,'Data '!A8:J43,2,0)</f>
        <v>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19">
        <f t="shared" si="0"/>
        <v>0</v>
      </c>
      <c r="O15" s="19"/>
      <c r="R15" s="3">
        <f t="shared" si="1"/>
        <v>0</v>
      </c>
      <c r="S15" s="19" t="str">
        <f t="shared" si="2"/>
        <v>TIDAK LULUS</v>
      </c>
    </row>
    <row r="16" spans="1:19" ht="20.100000000000001" customHeight="1" x14ac:dyDescent="0.25">
      <c r="A16" s="4">
        <v>9</v>
      </c>
      <c r="B16" s="166">
        <f>VLOOKUP(A16,'Data '!A9:J44,3,0)</f>
        <v>0</v>
      </c>
      <c r="C16" s="166">
        <f>VLOOKUP(A16,'Data '!A9:J44,2,0)</f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19">
        <f t="shared" si="0"/>
        <v>0</v>
      </c>
      <c r="O16" s="19"/>
      <c r="R16" s="3">
        <f t="shared" si="1"/>
        <v>0</v>
      </c>
      <c r="S16" s="19" t="str">
        <f t="shared" si="2"/>
        <v>TIDAK LULUS</v>
      </c>
    </row>
    <row r="17" spans="1:19" ht="20.100000000000001" customHeight="1" x14ac:dyDescent="0.25">
      <c r="A17" s="4">
        <v>10</v>
      </c>
      <c r="B17" s="166">
        <f>VLOOKUP(A17,'Data '!A10:J45,3,0)</f>
        <v>0</v>
      </c>
      <c r="C17" s="166">
        <f>VLOOKUP(A17,'Data '!A10:J45,2,0)</f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19">
        <f t="shared" si="0"/>
        <v>0</v>
      </c>
      <c r="O17" s="19"/>
      <c r="R17" s="3">
        <f t="shared" si="1"/>
        <v>0</v>
      </c>
      <c r="S17" s="19" t="str">
        <f t="shared" si="2"/>
        <v>TIDAK LULUS</v>
      </c>
    </row>
    <row r="18" spans="1:19" ht="20.100000000000001" customHeight="1" x14ac:dyDescent="0.25">
      <c r="A18" s="4">
        <v>11</v>
      </c>
      <c r="B18" s="166">
        <f>VLOOKUP(A18,'Data '!A11:J46,3,0)</f>
        <v>0</v>
      </c>
      <c r="C18" s="166">
        <f>VLOOKUP(A18,'Data '!A11:J46,2,0)</f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19">
        <f t="shared" si="0"/>
        <v>0</v>
      </c>
      <c r="O18" s="19"/>
      <c r="R18" s="3">
        <f t="shared" si="1"/>
        <v>0</v>
      </c>
      <c r="S18" s="19" t="str">
        <f t="shared" si="2"/>
        <v>TIDAK LULUS</v>
      </c>
    </row>
    <row r="19" spans="1:19" ht="20.100000000000001" customHeight="1" x14ac:dyDescent="0.25">
      <c r="A19" s="4">
        <v>12</v>
      </c>
      <c r="B19" s="166">
        <f>VLOOKUP(A19,'Data '!A12:J47,3,0)</f>
        <v>0</v>
      </c>
      <c r="C19" s="166">
        <f>VLOOKUP(A19,'Data '!A12:J47,2,0)</f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19">
        <f t="shared" si="0"/>
        <v>0</v>
      </c>
      <c r="O19" s="19"/>
      <c r="R19" s="3">
        <f t="shared" si="1"/>
        <v>0</v>
      </c>
      <c r="S19" s="19" t="str">
        <f t="shared" si="2"/>
        <v>TIDAK LULUS</v>
      </c>
    </row>
    <row r="20" spans="1:19" ht="20.100000000000001" customHeight="1" x14ac:dyDescent="0.25">
      <c r="A20" s="4">
        <v>13</v>
      </c>
      <c r="B20" s="166">
        <f>VLOOKUP(A20,'Data '!A13:J48,3,0)</f>
        <v>0</v>
      </c>
      <c r="C20" s="166">
        <f>VLOOKUP(A20,'Data '!A13:J48,2,0)</f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19">
        <f t="shared" si="0"/>
        <v>0</v>
      </c>
      <c r="O20" s="19"/>
      <c r="R20" s="3">
        <f t="shared" si="1"/>
        <v>0</v>
      </c>
      <c r="S20" s="19" t="str">
        <f t="shared" si="2"/>
        <v>TIDAK LULUS</v>
      </c>
    </row>
    <row r="21" spans="1:19" ht="20.100000000000001" customHeight="1" x14ac:dyDescent="0.25">
      <c r="A21" s="4">
        <v>14</v>
      </c>
      <c r="B21" s="166">
        <f>VLOOKUP(A21,'Data '!A14:J49,3,0)</f>
        <v>0</v>
      </c>
      <c r="C21" s="166">
        <f>VLOOKUP(A21,'Data '!A14:J49,2,0)</f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19">
        <f t="shared" si="0"/>
        <v>0</v>
      </c>
      <c r="O21" s="19"/>
      <c r="R21" s="3">
        <f t="shared" si="1"/>
        <v>0</v>
      </c>
      <c r="S21" s="19" t="str">
        <f t="shared" si="2"/>
        <v>TIDAK LULUS</v>
      </c>
    </row>
    <row r="22" spans="1:19" ht="15" customHeight="1" x14ac:dyDescent="0.25">
      <c r="A22" s="4">
        <v>15</v>
      </c>
      <c r="B22" s="166">
        <f>VLOOKUP(A22,'Data '!A15:J50,3,0)</f>
        <v>0</v>
      </c>
      <c r="C22" s="166">
        <f>VLOOKUP(A22,'Data '!A15:J50,2,0)</f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19">
        <f t="shared" si="0"/>
        <v>0</v>
      </c>
      <c r="O22" s="19"/>
      <c r="R22" s="3">
        <f t="shared" si="1"/>
        <v>0</v>
      </c>
      <c r="S22" s="19" t="str">
        <f t="shared" si="2"/>
        <v>TIDAK LULUS</v>
      </c>
    </row>
    <row r="23" spans="1:19" ht="20.100000000000001" customHeight="1" x14ac:dyDescent="0.25">
      <c r="A23" s="4">
        <v>16</v>
      </c>
      <c r="B23" s="166">
        <f>VLOOKUP(A23,'Data '!A16:J51,3,0)</f>
        <v>0</v>
      </c>
      <c r="C23" s="166">
        <f>VLOOKUP(A23,'Data '!A16:J51,2,0)</f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19">
        <f t="shared" si="0"/>
        <v>0</v>
      </c>
      <c r="O23" s="19"/>
      <c r="R23" s="3">
        <f t="shared" si="1"/>
        <v>0</v>
      </c>
      <c r="S23" s="19" t="str">
        <f t="shared" si="2"/>
        <v>TIDAK LULUS</v>
      </c>
    </row>
    <row r="24" spans="1:19" ht="20.100000000000001" customHeight="1" x14ac:dyDescent="0.25">
      <c r="A24" s="4">
        <v>17</v>
      </c>
      <c r="B24" s="166">
        <f>VLOOKUP(A24,'Data '!A17:J52,3,0)</f>
        <v>0</v>
      </c>
      <c r="C24" s="166">
        <f>VLOOKUP(A24,'Data '!A17:J52,2,0)</f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19">
        <f t="shared" si="0"/>
        <v>0</v>
      </c>
      <c r="O24" s="19"/>
      <c r="R24" s="3">
        <f t="shared" si="1"/>
        <v>0</v>
      </c>
      <c r="S24" s="19" t="str">
        <f t="shared" si="2"/>
        <v>TIDAK LULUS</v>
      </c>
    </row>
    <row r="25" spans="1:19" ht="20.100000000000001" customHeight="1" x14ac:dyDescent="0.25">
      <c r="A25" s="4">
        <v>18</v>
      </c>
      <c r="B25" s="166">
        <f>VLOOKUP(A25,'Data '!A18:J53,3,0)</f>
        <v>0</v>
      </c>
      <c r="C25" s="166">
        <f>VLOOKUP(A25,'Data '!A18:J53,2,0)</f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19">
        <f t="shared" si="0"/>
        <v>0</v>
      </c>
      <c r="O25" s="19"/>
      <c r="R25" s="3">
        <f t="shared" si="1"/>
        <v>0</v>
      </c>
      <c r="S25" s="19" t="str">
        <f t="shared" si="2"/>
        <v>TIDAK LULUS</v>
      </c>
    </row>
    <row r="26" spans="1:19" ht="20.100000000000001" customHeight="1" x14ac:dyDescent="0.25">
      <c r="A26" s="4">
        <v>19</v>
      </c>
      <c r="B26" s="166">
        <f>VLOOKUP(A26,'Data '!A19:J54,3,0)</f>
        <v>0</v>
      </c>
      <c r="C26" s="166">
        <f>VLOOKUP(A26,'Data '!A19:J54,2,0)</f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19">
        <f t="shared" si="0"/>
        <v>0</v>
      </c>
      <c r="O26" s="19"/>
      <c r="R26" s="3">
        <f t="shared" si="1"/>
        <v>0</v>
      </c>
      <c r="S26" s="19" t="str">
        <f t="shared" si="2"/>
        <v>TIDAK LULUS</v>
      </c>
    </row>
    <row r="27" spans="1:19" ht="20.100000000000001" customHeight="1" x14ac:dyDescent="0.25">
      <c r="A27" s="4">
        <v>20</v>
      </c>
      <c r="B27" s="166">
        <f>VLOOKUP(A27,'Data '!A20:J55,3,0)</f>
        <v>0</v>
      </c>
      <c r="C27" s="166">
        <f>VLOOKUP(A27,'Data '!A20:J55,2,0)</f>
        <v>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19">
        <f t="shared" si="0"/>
        <v>0</v>
      </c>
      <c r="O27" s="19"/>
      <c r="R27" s="3">
        <f t="shared" si="1"/>
        <v>0</v>
      </c>
      <c r="S27" s="19" t="str">
        <f t="shared" si="2"/>
        <v>TIDAK LULUS</v>
      </c>
    </row>
    <row r="28" spans="1:19" ht="20.100000000000001" customHeight="1" x14ac:dyDescent="0.25">
      <c r="A28" s="4">
        <v>21</v>
      </c>
      <c r="B28" s="166">
        <f>VLOOKUP(A28,'Data '!A21:J56,3,0)</f>
        <v>0</v>
      </c>
      <c r="C28" s="166">
        <f>VLOOKUP(A28,'Data '!A21:J56,2,0)</f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19">
        <f t="shared" si="0"/>
        <v>0</v>
      </c>
      <c r="O28" s="19"/>
      <c r="R28" s="3">
        <f t="shared" si="1"/>
        <v>0</v>
      </c>
      <c r="S28" s="19" t="str">
        <f t="shared" si="2"/>
        <v>TIDAK LULUS</v>
      </c>
    </row>
    <row r="30" spans="1:19" ht="20.100000000000001" customHeight="1" x14ac:dyDescent="0.25">
      <c r="K30" s="2" t="str">
        <f>'Data '!H38</f>
        <v>Tambak Jaya,                   September 2025</v>
      </c>
    </row>
    <row r="31" spans="1:19" ht="20.100000000000001" customHeight="1" x14ac:dyDescent="0.25">
      <c r="K31" s="2" t="s">
        <v>10</v>
      </c>
    </row>
    <row r="32" spans="1:19" ht="20.100000000000001" customHeight="1" x14ac:dyDescent="0.25">
      <c r="K32" s="2"/>
    </row>
    <row r="33" spans="11:11" ht="20.100000000000001" customHeight="1" x14ac:dyDescent="0.25">
      <c r="K33" s="2" t="s">
        <v>11</v>
      </c>
    </row>
  </sheetData>
  <mergeCells count="8">
    <mergeCell ref="A1:O1"/>
    <mergeCell ref="A2:O2"/>
    <mergeCell ref="A5:A7"/>
    <mergeCell ref="B5:B7"/>
    <mergeCell ref="C5:C7"/>
    <mergeCell ref="D5:M5"/>
    <mergeCell ref="N5:N7"/>
    <mergeCell ref="O5:O7"/>
  </mergeCells>
  <conditionalFormatting sqref="O8:O28">
    <cfRule type="cellIs" dxfId="21" priority="90" operator="equal">
      <formula>"TIDAK$8:$8 LULUS"</formula>
    </cfRule>
    <cfRule type="cellIs" dxfId="20" priority="91" operator="equal">
      <formula>"LULUS"</formula>
    </cfRule>
    <cfRule type="cellIs" dxfId="19" priority="92" operator="between">
      <formula>"LULUS"</formula>
      <formula>"TIDAK$8:$8 LULUS"</formula>
    </cfRule>
    <cfRule type="dataBar" priority="9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{8E71F5CF-D0FB-46CA-851C-4AC107C05FEA}</x14:id>
        </ext>
      </extLst>
    </cfRule>
  </conditionalFormatting>
  <conditionalFormatting sqref="S8:S28">
    <cfRule type="cellIs" dxfId="18" priority="94" operator="equal">
      <formula>"TIDAK$8:$8 LULUS"</formula>
    </cfRule>
    <cfRule type="cellIs" dxfId="17" priority="95" operator="equal">
      <formula>"LULUS"</formula>
    </cfRule>
    <cfRule type="cellIs" dxfId="16" priority="96" operator="between">
      <formula>"LULUS"</formula>
      <formula>"TIDAK$8:$8 LULUS"</formula>
    </cfRule>
    <cfRule type="dataBar" priority="9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{8A3AC822-A072-4DAE-9314-54BD055F7597}</x14:id>
        </ext>
      </extLst>
    </cfRule>
  </conditionalFormatting>
  <pageMargins left="0.7" right="0.7" top="0.75" bottom="0.75" header="0.3" footer="0.3"/>
  <pageSetup paperSize="9" scale="64" orientation="landscape" horizontalDpi="4294967293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71F5CF-D0FB-46CA-851C-4AC107C05F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O8:O28</xm:sqref>
        </x14:conditionalFormatting>
        <x14:conditionalFormatting xmlns:xm="http://schemas.microsoft.com/office/excel/2006/main">
          <x14:cfRule type="dataBar" id="{8A3AC822-A072-4DAE-9314-54BD055F759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S8:S28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3B5B5-7F77-49F8-8226-902A86CD39AA}">
  <sheetPr>
    <pageSetUpPr fitToPage="1"/>
  </sheetPr>
  <dimension ref="A1:T40"/>
  <sheetViews>
    <sheetView view="pageBreakPreview" topLeftCell="C6" zoomScale="115" zoomScaleSheetLayoutView="115" workbookViewId="0">
      <selection activeCell="N8" sqref="N8:N28"/>
    </sheetView>
  </sheetViews>
  <sheetFormatPr defaultRowHeight="20.100000000000001" customHeight="1" x14ac:dyDescent="0.25"/>
  <cols>
    <col min="1" max="1" width="5.7109375" customWidth="1"/>
    <col min="2" max="2" width="23.42578125" customWidth="1"/>
    <col min="3" max="3" width="15.7109375" customWidth="1"/>
    <col min="4" max="13" width="6.7109375" customWidth="1"/>
    <col min="14" max="14" width="12.28515625" customWidth="1"/>
    <col min="15" max="16" width="12.7109375" customWidth="1"/>
    <col min="17" max="17" width="4.7109375" customWidth="1"/>
  </cols>
  <sheetData>
    <row r="1" spans="1:20" ht="20.100000000000001" customHeight="1" x14ac:dyDescent="0.25">
      <c r="A1" s="145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24"/>
    </row>
    <row r="2" spans="1:20" ht="20.100000000000001" customHeight="1" x14ac:dyDescent="0.25">
      <c r="A2" s="145" t="s">
        <v>12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24"/>
    </row>
    <row r="3" spans="1:20" ht="20.100000000000001" customHeight="1" x14ac:dyDescent="0.25">
      <c r="A3" s="2"/>
      <c r="B3" s="2"/>
      <c r="C3" s="7"/>
      <c r="D3" s="7"/>
      <c r="E3" s="7"/>
      <c r="F3" s="7"/>
      <c r="G3" s="7"/>
      <c r="H3" s="7"/>
      <c r="I3" s="7"/>
      <c r="J3" s="7"/>
      <c r="K3" s="7"/>
      <c r="L3" s="8" t="s">
        <v>13</v>
      </c>
      <c r="M3" s="2"/>
      <c r="N3" s="2" t="s">
        <v>189</v>
      </c>
      <c r="O3" s="7"/>
      <c r="P3" s="7"/>
    </row>
    <row r="4" spans="1:20" ht="1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20" ht="20.100000000000001" customHeight="1" x14ac:dyDescent="0.25">
      <c r="A5" s="119" t="s">
        <v>1</v>
      </c>
      <c r="B5" s="146" t="s">
        <v>2</v>
      </c>
      <c r="C5" s="149" t="s">
        <v>3</v>
      </c>
      <c r="D5" s="119" t="s">
        <v>190</v>
      </c>
      <c r="E5" s="119"/>
      <c r="F5" s="119"/>
      <c r="G5" s="119"/>
      <c r="H5" s="119"/>
      <c r="I5" s="119"/>
      <c r="J5" s="119"/>
      <c r="K5" s="119"/>
      <c r="L5" s="119"/>
      <c r="M5" s="119"/>
      <c r="N5" s="152" t="s">
        <v>7</v>
      </c>
      <c r="O5" s="119" t="s">
        <v>8</v>
      </c>
      <c r="P5" s="119"/>
    </row>
    <row r="6" spans="1:20" ht="20.100000000000001" customHeight="1" x14ac:dyDescent="0.25">
      <c r="A6" s="119"/>
      <c r="B6" s="147"/>
      <c r="C6" s="150"/>
      <c r="D6" s="155"/>
      <c r="E6" s="156"/>
      <c r="F6" s="156"/>
      <c r="G6" s="156"/>
      <c r="H6" s="156"/>
      <c r="I6" s="156"/>
      <c r="J6" s="156"/>
      <c r="K6" s="156"/>
      <c r="L6" s="156"/>
      <c r="M6" s="157"/>
      <c r="N6" s="153"/>
      <c r="O6" s="119"/>
      <c r="P6" s="119"/>
      <c r="R6" s="14"/>
    </row>
    <row r="7" spans="1:20" ht="20.100000000000001" customHeight="1" x14ac:dyDescent="0.25">
      <c r="A7" s="119"/>
      <c r="B7" s="148"/>
      <c r="C7" s="151"/>
      <c r="D7" s="1">
        <v>1</v>
      </c>
      <c r="E7" s="4">
        <v>2</v>
      </c>
      <c r="F7" s="1">
        <v>3</v>
      </c>
      <c r="G7" s="4">
        <v>4</v>
      </c>
      <c r="H7" s="1">
        <v>5</v>
      </c>
      <c r="I7" s="4">
        <v>6</v>
      </c>
      <c r="J7" s="1">
        <v>7</v>
      </c>
      <c r="K7" s="4">
        <v>8</v>
      </c>
      <c r="L7" s="1">
        <v>9</v>
      </c>
      <c r="M7" s="4">
        <v>10</v>
      </c>
      <c r="N7" s="154"/>
      <c r="O7" s="119"/>
      <c r="P7" s="119"/>
    </row>
    <row r="8" spans="1:20" ht="20.100000000000001" customHeight="1" x14ac:dyDescent="0.25">
      <c r="A8" s="4">
        <v>1</v>
      </c>
      <c r="B8" s="166" t="str">
        <f>VLOOKUP(A8,'Data '!A2:J36,3,0)</f>
        <v>Ahmad Alhabib Ramadhan</v>
      </c>
      <c r="C8" s="166" t="str">
        <f>VLOOKUP(A8,'Data '!A2:J36,2,0)</f>
        <v>Utsmaniyyah III</v>
      </c>
      <c r="D8" s="3"/>
      <c r="E8" s="3"/>
      <c r="F8" s="3"/>
      <c r="G8" s="3"/>
      <c r="H8" s="3"/>
      <c r="I8" s="3"/>
      <c r="J8" s="3"/>
      <c r="K8" s="3"/>
      <c r="L8" s="3"/>
      <c r="M8" s="3"/>
      <c r="N8" s="19">
        <f>SUM(D8:M8)</f>
        <v>0</v>
      </c>
      <c r="O8" s="19"/>
      <c r="P8" s="19"/>
      <c r="R8" s="3">
        <v>0.8</v>
      </c>
      <c r="S8" s="3">
        <v>0.8</v>
      </c>
      <c r="T8" s="3">
        <f>SUM(D8:K8)</f>
        <v>0</v>
      </c>
    </row>
    <row r="9" spans="1:20" ht="20.100000000000001" customHeight="1" x14ac:dyDescent="0.25">
      <c r="A9" s="4">
        <v>2</v>
      </c>
      <c r="B9" s="166" t="str">
        <f>VLOOKUP(A9,'Data '!A3:J37,3,0)</f>
        <v>Aulia Zahra El Fikri</v>
      </c>
      <c r="C9" s="166" t="str">
        <f>VLOOKUP(A9,'Data '!A3:J37,2,0)</f>
        <v>Utsmaniyyah III</v>
      </c>
      <c r="D9" s="3"/>
      <c r="E9" s="3"/>
      <c r="F9" s="3"/>
      <c r="G9" s="3"/>
      <c r="H9" s="3"/>
      <c r="I9" s="3"/>
      <c r="J9" s="3"/>
      <c r="K9" s="3"/>
      <c r="L9" s="3"/>
      <c r="M9" s="3"/>
      <c r="N9" s="19">
        <f t="shared" ref="N9:N28" si="0">SUM(D9:M9)</f>
        <v>0</v>
      </c>
      <c r="O9" s="19"/>
      <c r="P9" s="19"/>
      <c r="R9" s="3">
        <v>0.9</v>
      </c>
      <c r="S9" s="3">
        <v>0.8</v>
      </c>
      <c r="T9" s="3">
        <f t="shared" ref="T9:T28" si="1">SUM(D9:K9)</f>
        <v>0</v>
      </c>
    </row>
    <row r="10" spans="1:20" ht="20.100000000000001" customHeight="1" x14ac:dyDescent="0.25">
      <c r="A10" s="4">
        <v>3</v>
      </c>
      <c r="B10" s="166" t="str">
        <f>VLOOKUP(A10,'Data '!A4:J38,3,0)</f>
        <v>Nur Habibi</v>
      </c>
      <c r="C10" s="166" t="str">
        <f>VLOOKUP(A10,'Data '!A4:J38,2,0)</f>
        <v>Utsmaniyyah III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19">
        <f t="shared" si="0"/>
        <v>0</v>
      </c>
      <c r="O10" s="19"/>
      <c r="P10" s="19"/>
      <c r="R10" s="3">
        <v>0.8</v>
      </c>
      <c r="S10" s="3">
        <v>0.8</v>
      </c>
      <c r="T10" s="3">
        <f t="shared" si="1"/>
        <v>0</v>
      </c>
    </row>
    <row r="11" spans="1:20" ht="20.100000000000001" customHeight="1" x14ac:dyDescent="0.25">
      <c r="A11" s="4">
        <v>4</v>
      </c>
      <c r="B11" s="166" t="str">
        <f>VLOOKUP(A11,'Data '!A5:J39,3,0)</f>
        <v>M. Fatan Azzamy Isma'il</v>
      </c>
      <c r="C11" s="166" t="str">
        <f>VLOOKUP(A11,'Data '!A5:J39,2,0)</f>
        <v>Utsmaniyyah III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19">
        <f t="shared" si="0"/>
        <v>0</v>
      </c>
      <c r="O11" s="19"/>
      <c r="P11" s="19"/>
      <c r="R11" s="3">
        <v>1</v>
      </c>
      <c r="S11" s="3">
        <v>1</v>
      </c>
      <c r="T11" s="3">
        <f t="shared" si="1"/>
        <v>0</v>
      </c>
    </row>
    <row r="12" spans="1:20" ht="20.100000000000001" customHeight="1" x14ac:dyDescent="0.25">
      <c r="A12" s="4">
        <v>5</v>
      </c>
      <c r="B12" s="166" t="str">
        <f>VLOOKUP(A12,'Data '!A6:J40,3,0)</f>
        <v>M. Mahi Mutawakkil</v>
      </c>
      <c r="C12" s="166" t="str">
        <f>VLOOKUP(A12,'Data '!A6:J40,2,0)</f>
        <v>Utsmaniyyah III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19">
        <f t="shared" si="0"/>
        <v>0</v>
      </c>
      <c r="O12" s="19"/>
      <c r="P12" s="19"/>
      <c r="R12" s="3">
        <v>0.9</v>
      </c>
      <c r="S12" s="3">
        <v>0.9</v>
      </c>
      <c r="T12" s="3">
        <f t="shared" si="1"/>
        <v>0</v>
      </c>
    </row>
    <row r="13" spans="1:20" ht="20.100000000000001" customHeight="1" x14ac:dyDescent="0.25">
      <c r="A13" s="4">
        <v>6</v>
      </c>
      <c r="B13" s="166" t="str">
        <f>VLOOKUP(A13,'Data '!A7:J41,3,0)</f>
        <v>Renoval Faiz Al Ghifari</v>
      </c>
      <c r="C13" s="166" t="str">
        <f>VLOOKUP(A13,'Data '!A7:J41,2,0)</f>
        <v>Utsmaniyyah III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19">
        <f t="shared" si="0"/>
        <v>0</v>
      </c>
      <c r="O13" s="19"/>
      <c r="P13" s="19"/>
      <c r="R13" s="3">
        <v>0.8</v>
      </c>
      <c r="S13" s="3">
        <v>0.8</v>
      </c>
      <c r="T13" s="3">
        <f t="shared" si="1"/>
        <v>0</v>
      </c>
    </row>
    <row r="14" spans="1:20" ht="20.100000000000001" customHeight="1" x14ac:dyDescent="0.25">
      <c r="A14" s="4">
        <v>7</v>
      </c>
      <c r="B14" s="166" t="str">
        <f>VLOOKUP(A14,'Data '!A8:J42,3,0)</f>
        <v>Sindi Wulandari</v>
      </c>
      <c r="C14" s="166" t="str">
        <f>VLOOKUP(A14,'Data '!A8:J42,2,0)</f>
        <v>Utsmaniyyah III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19">
        <f t="shared" si="0"/>
        <v>0</v>
      </c>
      <c r="O14" s="19"/>
      <c r="P14" s="19"/>
      <c r="R14" s="3">
        <v>1</v>
      </c>
      <c r="S14" s="3">
        <v>1</v>
      </c>
      <c r="T14" s="3">
        <f t="shared" si="1"/>
        <v>0</v>
      </c>
    </row>
    <row r="15" spans="1:20" ht="20.100000000000001" customHeight="1" x14ac:dyDescent="0.25">
      <c r="A15" s="4">
        <v>8</v>
      </c>
      <c r="B15" s="166">
        <f>VLOOKUP(A15,'Data '!A8:J43,3,0)</f>
        <v>0</v>
      </c>
      <c r="C15" s="166">
        <f>VLOOKUP(A15,'Data '!A8:J43,2,0)</f>
        <v>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19">
        <f t="shared" si="0"/>
        <v>0</v>
      </c>
      <c r="O15" s="19"/>
      <c r="P15" s="19"/>
      <c r="R15" s="3">
        <v>1</v>
      </c>
      <c r="S15" s="3">
        <v>1</v>
      </c>
      <c r="T15" s="3">
        <f t="shared" si="1"/>
        <v>0</v>
      </c>
    </row>
    <row r="16" spans="1:20" ht="20.100000000000001" customHeight="1" x14ac:dyDescent="0.25">
      <c r="A16" s="4">
        <v>9</v>
      </c>
      <c r="B16" s="166">
        <f>VLOOKUP(A16,'Data '!A9:J44,3,0)</f>
        <v>0</v>
      </c>
      <c r="C16" s="166">
        <f>VLOOKUP(A16,'Data '!A9:J44,2,0)</f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19">
        <f t="shared" si="0"/>
        <v>0</v>
      </c>
      <c r="O16" s="19"/>
      <c r="P16" s="19"/>
      <c r="R16" s="3">
        <v>1</v>
      </c>
      <c r="S16" s="3">
        <v>1</v>
      </c>
      <c r="T16" s="3">
        <f t="shared" si="1"/>
        <v>0</v>
      </c>
    </row>
    <row r="17" spans="1:20" ht="20.100000000000001" customHeight="1" x14ac:dyDescent="0.25">
      <c r="A17" s="4">
        <v>10</v>
      </c>
      <c r="B17" s="166">
        <f>VLOOKUP(A17,'Data '!A10:J45,3,0)</f>
        <v>0</v>
      </c>
      <c r="C17" s="166">
        <f>VLOOKUP(A17,'Data '!A10:J45,2,0)</f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19">
        <f t="shared" si="0"/>
        <v>0</v>
      </c>
      <c r="O17" s="19"/>
      <c r="P17" s="19"/>
      <c r="R17" s="3">
        <v>1</v>
      </c>
      <c r="S17" s="3">
        <v>1</v>
      </c>
      <c r="T17" s="3">
        <f t="shared" si="1"/>
        <v>0</v>
      </c>
    </row>
    <row r="18" spans="1:20" ht="20.100000000000001" customHeight="1" x14ac:dyDescent="0.25">
      <c r="A18" s="4">
        <v>11</v>
      </c>
      <c r="B18" s="166">
        <f>VLOOKUP(A18,'Data '!A11:J46,3,0)</f>
        <v>0</v>
      </c>
      <c r="C18" s="166">
        <f>VLOOKUP(A18,'Data '!A11:J46,2,0)</f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19">
        <f t="shared" si="0"/>
        <v>0</v>
      </c>
      <c r="O18" s="19"/>
      <c r="P18" s="19"/>
      <c r="R18" s="3">
        <v>0.9</v>
      </c>
      <c r="S18" s="3">
        <v>0.9</v>
      </c>
      <c r="T18" s="3">
        <f t="shared" si="1"/>
        <v>0</v>
      </c>
    </row>
    <row r="19" spans="1:20" ht="20.100000000000001" customHeight="1" x14ac:dyDescent="0.25">
      <c r="A19" s="4">
        <v>12</v>
      </c>
      <c r="B19" s="166">
        <f>VLOOKUP(A19,'Data '!A12:J47,3,0)</f>
        <v>0</v>
      </c>
      <c r="C19" s="166">
        <f>VLOOKUP(A19,'Data '!A12:J47,2,0)</f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19">
        <f t="shared" si="0"/>
        <v>0</v>
      </c>
      <c r="O19" s="19"/>
      <c r="P19" s="19"/>
      <c r="R19" s="3">
        <v>1</v>
      </c>
      <c r="S19" s="3">
        <v>0.9</v>
      </c>
      <c r="T19" s="3">
        <f t="shared" si="1"/>
        <v>0</v>
      </c>
    </row>
    <row r="20" spans="1:20" ht="20.100000000000001" customHeight="1" x14ac:dyDescent="0.25">
      <c r="A20" s="4">
        <v>13</v>
      </c>
      <c r="B20" s="166">
        <f>VLOOKUP(A20,'Data '!A13:J48,3,0)</f>
        <v>0</v>
      </c>
      <c r="C20" s="166">
        <f>VLOOKUP(A20,'Data '!A13:J48,2,0)</f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19">
        <f t="shared" si="0"/>
        <v>0</v>
      </c>
      <c r="O20" s="19"/>
      <c r="P20" s="19"/>
      <c r="R20" s="3">
        <v>0.9</v>
      </c>
      <c r="S20" s="3">
        <v>1</v>
      </c>
      <c r="T20" s="3">
        <f t="shared" si="1"/>
        <v>0</v>
      </c>
    </row>
    <row r="21" spans="1:20" ht="20.100000000000001" customHeight="1" x14ac:dyDescent="0.25">
      <c r="A21" s="4">
        <v>14</v>
      </c>
      <c r="B21" s="166">
        <f>VLOOKUP(A21,'Data '!A14:J49,3,0)</f>
        <v>0</v>
      </c>
      <c r="C21" s="166">
        <f>VLOOKUP(A21,'Data '!A14:J49,2,0)</f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19">
        <f t="shared" si="0"/>
        <v>0</v>
      </c>
      <c r="O21" s="19"/>
      <c r="P21" s="19"/>
      <c r="R21" s="3">
        <v>2</v>
      </c>
      <c r="S21" s="3">
        <v>1</v>
      </c>
      <c r="T21" s="3">
        <f t="shared" si="1"/>
        <v>0</v>
      </c>
    </row>
    <row r="22" spans="1:20" ht="20.100000000000001" customHeight="1" x14ac:dyDescent="0.25">
      <c r="A22" s="4">
        <v>15</v>
      </c>
      <c r="B22" s="166">
        <f>VLOOKUP(A22,'Data '!A15:J50,3,0)</f>
        <v>0</v>
      </c>
      <c r="C22" s="166">
        <f>VLOOKUP(A22,'Data '!A15:J50,2,0)</f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19">
        <f t="shared" si="0"/>
        <v>0</v>
      </c>
      <c r="O22" s="19"/>
      <c r="P22" s="19"/>
      <c r="R22" s="3">
        <v>1</v>
      </c>
      <c r="S22" s="3">
        <v>1</v>
      </c>
      <c r="T22" s="3">
        <f t="shared" si="1"/>
        <v>0</v>
      </c>
    </row>
    <row r="23" spans="1:20" ht="20.100000000000001" customHeight="1" x14ac:dyDescent="0.25">
      <c r="A23" s="4">
        <v>16</v>
      </c>
      <c r="B23" s="166">
        <f>VLOOKUP(A23,'Data '!A16:J51,3,0)</f>
        <v>0</v>
      </c>
      <c r="C23" s="166">
        <f>VLOOKUP(A23,'Data '!A16:J51,2,0)</f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19">
        <f t="shared" si="0"/>
        <v>0</v>
      </c>
      <c r="O23" s="19"/>
      <c r="P23" s="19"/>
      <c r="R23" s="3">
        <v>0.9</v>
      </c>
      <c r="S23" s="3">
        <v>0.8</v>
      </c>
      <c r="T23" s="3">
        <f t="shared" si="1"/>
        <v>0</v>
      </c>
    </row>
    <row r="24" spans="1:20" ht="20.100000000000001" customHeight="1" x14ac:dyDescent="0.25">
      <c r="A24" s="4">
        <v>17</v>
      </c>
      <c r="B24" s="166">
        <f>VLOOKUP(A24,'Data '!A17:J52,3,0)</f>
        <v>0</v>
      </c>
      <c r="C24" s="166">
        <f>VLOOKUP(A24,'Data '!A17:J52,2,0)</f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19">
        <f t="shared" si="0"/>
        <v>0</v>
      </c>
      <c r="O24" s="19"/>
      <c r="P24" s="19"/>
      <c r="R24" s="3">
        <v>1</v>
      </c>
      <c r="S24" s="3">
        <v>1</v>
      </c>
      <c r="T24" s="3">
        <f t="shared" si="1"/>
        <v>0</v>
      </c>
    </row>
    <row r="25" spans="1:20" ht="20.100000000000001" customHeight="1" x14ac:dyDescent="0.25">
      <c r="A25" s="4">
        <v>18</v>
      </c>
      <c r="B25" s="166">
        <f>VLOOKUP(A25,'Data '!A18:J53,3,0)</f>
        <v>0</v>
      </c>
      <c r="C25" s="166">
        <f>VLOOKUP(A25,'Data '!A18:J53,2,0)</f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19">
        <f t="shared" si="0"/>
        <v>0</v>
      </c>
      <c r="O25" s="19"/>
      <c r="P25" s="19"/>
      <c r="R25" s="3">
        <v>0.8</v>
      </c>
      <c r="S25" s="3">
        <v>0.8</v>
      </c>
      <c r="T25" s="3">
        <f t="shared" si="1"/>
        <v>0</v>
      </c>
    </row>
    <row r="26" spans="1:20" ht="20.100000000000001" customHeight="1" x14ac:dyDescent="0.25">
      <c r="A26" s="4">
        <v>19</v>
      </c>
      <c r="B26" s="166">
        <f>VLOOKUP(A26,'Data '!A19:J54,3,0)</f>
        <v>0</v>
      </c>
      <c r="C26" s="166">
        <f>VLOOKUP(A26,'Data '!A19:J54,2,0)</f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19">
        <f t="shared" si="0"/>
        <v>0</v>
      </c>
      <c r="O26" s="19"/>
      <c r="P26" s="19"/>
      <c r="R26" s="3">
        <v>0.8</v>
      </c>
      <c r="S26" s="3">
        <v>0.7</v>
      </c>
      <c r="T26" s="3">
        <f t="shared" si="1"/>
        <v>0</v>
      </c>
    </row>
    <row r="27" spans="1:20" ht="20.100000000000001" customHeight="1" x14ac:dyDescent="0.25">
      <c r="A27" s="4">
        <v>20</v>
      </c>
      <c r="B27" s="166">
        <f>VLOOKUP(A27,'Data '!A20:J55,3,0)</f>
        <v>0</v>
      </c>
      <c r="C27" s="166">
        <f>VLOOKUP(A27,'Data '!A20:J55,2,0)</f>
        <v>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19">
        <f t="shared" si="0"/>
        <v>0</v>
      </c>
      <c r="O27" s="19"/>
      <c r="P27" s="19"/>
      <c r="R27" s="3">
        <v>0.8</v>
      </c>
      <c r="S27" s="3">
        <v>0.8</v>
      </c>
      <c r="T27" s="3">
        <f t="shared" si="1"/>
        <v>0</v>
      </c>
    </row>
    <row r="28" spans="1:20" ht="20.100000000000001" customHeight="1" x14ac:dyDescent="0.25">
      <c r="A28" s="4">
        <v>21</v>
      </c>
      <c r="B28" s="166">
        <f>VLOOKUP(A28,'Data '!A21:J56,3,0)</f>
        <v>0</v>
      </c>
      <c r="C28" s="166">
        <f>VLOOKUP(A28,'Data '!A21:J56,2,0)</f>
        <v>0</v>
      </c>
      <c r="D28" s="3"/>
      <c r="E28" s="3"/>
      <c r="F28" s="3"/>
      <c r="G28" s="3"/>
      <c r="H28" s="3"/>
      <c r="I28" s="3"/>
      <c r="J28" s="3"/>
      <c r="K28" s="3"/>
      <c r="L28" s="35"/>
      <c r="M28" s="35"/>
      <c r="N28" s="19">
        <f t="shared" si="0"/>
        <v>0</v>
      </c>
      <c r="O28" s="19"/>
      <c r="P28" s="19"/>
      <c r="R28" s="3">
        <v>0.6</v>
      </c>
      <c r="S28" s="3">
        <v>0.8</v>
      </c>
      <c r="T28" s="3">
        <f t="shared" si="1"/>
        <v>0</v>
      </c>
    </row>
    <row r="29" spans="1:20" ht="20.100000000000001" customHeight="1" x14ac:dyDescent="0.25">
      <c r="A29" s="13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20" ht="20.100000000000001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t="str">
        <f>'Data '!H38</f>
        <v>Tambak Jaya,                   September 2025</v>
      </c>
      <c r="L30" s="2"/>
      <c r="M30" s="2"/>
      <c r="N30" s="2"/>
      <c r="O30" s="2"/>
      <c r="P30" s="2"/>
    </row>
    <row r="31" spans="1:20" ht="20.100000000000001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 t="s">
        <v>10</v>
      </c>
      <c r="L31" s="2"/>
      <c r="M31" s="2"/>
      <c r="N31" s="2"/>
      <c r="O31" s="2"/>
      <c r="P31" s="2"/>
    </row>
    <row r="32" spans="1:20" ht="20.100000000000001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ht="20.100000000000001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ht="20.100000000000001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 t="s">
        <v>11</v>
      </c>
      <c r="L34" s="2"/>
      <c r="M34" s="2"/>
      <c r="N34" s="2"/>
      <c r="O34" s="2"/>
      <c r="P34" s="2"/>
    </row>
    <row r="35" spans="1:16" ht="20.100000000000001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ht="20.100000000000001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ht="20.100000000000001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ht="20.100000000000001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ht="20.100000000000001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ht="20.100000000000001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</sheetData>
  <mergeCells count="9">
    <mergeCell ref="A1:O1"/>
    <mergeCell ref="A2:O2"/>
    <mergeCell ref="A5:A7"/>
    <mergeCell ref="B5:B7"/>
    <mergeCell ref="C5:C7"/>
    <mergeCell ref="D5:M5"/>
    <mergeCell ref="N5:N7"/>
    <mergeCell ref="O5:P7"/>
    <mergeCell ref="D6:M6"/>
  </mergeCells>
  <conditionalFormatting sqref="O8:O28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{B7C5D086-E2DC-4361-A288-067F22C0BD4D}</x14:id>
        </ext>
      </extLst>
    </cfRule>
  </conditionalFormatting>
  <conditionalFormatting sqref="O8:P28">
    <cfRule type="cellIs" dxfId="15" priority="1" operator="equal">
      <formula>"TIDAK$8:$8 LULUS"</formula>
    </cfRule>
    <cfRule type="cellIs" dxfId="14" priority="2" operator="equal">
      <formula>"LULUS"</formula>
    </cfRule>
    <cfRule type="cellIs" dxfId="13" priority="3" operator="between">
      <formula>"LULUS"</formula>
      <formula>"TIDAK$8:$8 LULUS"</formula>
    </cfRule>
  </conditionalFormatting>
  <conditionalFormatting sqref="P8:P28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{A3FEFAD4-DE6E-4731-BD0A-BB824C110381}</x14:id>
        </ext>
      </extLst>
    </cfRule>
  </conditionalFormatting>
  <pageMargins left="1.5" right="0.7" top="0.75" bottom="0.75" header="0.3" footer="0.3"/>
  <pageSetup paperSize="9" scale="66" orientation="landscape" horizontalDpi="4294967293" verticalDpi="0" r:id="rId1"/>
  <colBreaks count="1" manualBreakCount="1">
    <brk id="16" max="1048575" man="1"/>
  </col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7C5D086-E2DC-4361-A288-067F22C0BD4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O8:O28</xm:sqref>
        </x14:conditionalFormatting>
        <x14:conditionalFormatting xmlns:xm="http://schemas.microsoft.com/office/excel/2006/main">
          <x14:cfRule type="dataBar" id="{A3FEFAD4-DE6E-4731-BD0A-BB824C11038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P8:P28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U32"/>
  <sheetViews>
    <sheetView topLeftCell="A4" zoomScale="85" zoomScaleNormal="85" workbookViewId="0">
      <selection activeCell="L8" sqref="L8:L30"/>
    </sheetView>
  </sheetViews>
  <sheetFormatPr defaultRowHeight="20.100000000000001" customHeight="1" x14ac:dyDescent="0.25"/>
  <cols>
    <col min="1" max="1" width="5.7109375" customWidth="1"/>
    <col min="2" max="2" width="29.5703125" customWidth="1"/>
    <col min="3" max="3" width="17.42578125" customWidth="1"/>
    <col min="8" max="8" width="10" customWidth="1"/>
    <col min="11" max="11" width="13.5703125" customWidth="1"/>
    <col min="12" max="12" width="10.5703125" customWidth="1"/>
    <col min="13" max="13" width="14.5703125" customWidth="1"/>
  </cols>
  <sheetData>
    <row r="1" spans="1:21" ht="20.100000000000001" customHeight="1" x14ac:dyDescent="0.25">
      <c r="A1" s="145" t="s">
        <v>187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</row>
    <row r="2" spans="1:21" ht="20.100000000000001" customHeight="1" x14ac:dyDescent="0.25">
      <c r="A2" s="145" t="s">
        <v>12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</row>
    <row r="3" spans="1:21" ht="20.100000000000001" customHeight="1" x14ac:dyDescent="0.25">
      <c r="A3" s="2"/>
      <c r="B3" s="2"/>
      <c r="C3" s="7"/>
      <c r="D3" s="7"/>
      <c r="E3" s="7"/>
      <c r="F3" s="7"/>
      <c r="G3" s="7"/>
      <c r="H3" s="7"/>
      <c r="I3" s="7"/>
      <c r="J3" s="7"/>
      <c r="K3" s="7"/>
      <c r="L3" s="2" t="s">
        <v>37</v>
      </c>
      <c r="M3" s="7"/>
    </row>
    <row r="4" spans="1:21" ht="20.100000000000001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21" ht="20.100000000000001" customHeight="1" x14ac:dyDescent="0.25">
      <c r="A5" s="119" t="s">
        <v>1</v>
      </c>
      <c r="B5" s="146" t="s">
        <v>2</v>
      </c>
      <c r="C5" s="149" t="s">
        <v>3</v>
      </c>
      <c r="D5" s="119" t="s">
        <v>19</v>
      </c>
      <c r="E5" s="119"/>
      <c r="F5" s="119"/>
      <c r="G5" s="119"/>
      <c r="H5" s="119"/>
      <c r="I5" s="119"/>
      <c r="J5" s="119"/>
      <c r="K5" s="119"/>
      <c r="L5" s="152" t="s">
        <v>7</v>
      </c>
      <c r="M5" s="146" t="s">
        <v>8</v>
      </c>
    </row>
    <row r="6" spans="1:21" ht="20.100000000000001" customHeight="1" x14ac:dyDescent="0.25">
      <c r="A6" s="119"/>
      <c r="B6" s="147"/>
      <c r="C6" s="150"/>
      <c r="D6" s="155"/>
      <c r="E6" s="156"/>
      <c r="F6" s="156"/>
      <c r="G6" s="156"/>
      <c r="H6" s="156"/>
      <c r="I6" s="156"/>
      <c r="J6" s="156"/>
      <c r="K6" s="156"/>
      <c r="L6" s="153"/>
      <c r="M6" s="147"/>
    </row>
    <row r="7" spans="1:21" ht="37.5" customHeight="1" x14ac:dyDescent="0.25">
      <c r="A7" s="119"/>
      <c r="B7" s="148"/>
      <c r="C7" s="151"/>
      <c r="D7" s="52" t="s">
        <v>100</v>
      </c>
      <c r="E7" s="11" t="s">
        <v>21</v>
      </c>
      <c r="F7" s="11" t="s">
        <v>186</v>
      </c>
      <c r="G7" s="11" t="s">
        <v>22</v>
      </c>
      <c r="H7" s="11" t="s">
        <v>185</v>
      </c>
      <c r="I7" s="11" t="s">
        <v>23</v>
      </c>
      <c r="J7" s="11" t="s">
        <v>24</v>
      </c>
      <c r="K7" s="11" t="s">
        <v>25</v>
      </c>
      <c r="L7" s="154"/>
      <c r="M7" s="148"/>
      <c r="N7" s="51"/>
      <c r="O7" s="51"/>
    </row>
    <row r="8" spans="1:21" ht="20.100000000000001" customHeight="1" x14ac:dyDescent="0.25">
      <c r="A8" s="4">
        <v>1</v>
      </c>
      <c r="B8" s="166" t="str">
        <f>VLOOKUP(A8,'Data '!A2:J36,3,0)</f>
        <v>Ahmad Alhabib Ramadhan</v>
      </c>
      <c r="C8" s="166" t="str">
        <f>VLOOKUP(A8,'Data '!A2:J36,2,0)</f>
        <v>Utsmaniyyah III</v>
      </c>
      <c r="D8" s="3"/>
      <c r="E8" s="3"/>
      <c r="F8" s="3"/>
      <c r="G8" s="3"/>
      <c r="H8" s="3"/>
      <c r="I8" s="3"/>
      <c r="J8" s="3"/>
      <c r="K8" s="3"/>
      <c r="L8" s="54">
        <f>SUM(D8:K8)</f>
        <v>0</v>
      </c>
      <c r="M8" s="19"/>
      <c r="P8" s="89">
        <f>SUM(D8:K8)</f>
        <v>0</v>
      </c>
      <c r="Q8" s="19"/>
      <c r="R8" s="47"/>
    </row>
    <row r="9" spans="1:21" ht="20.100000000000001" customHeight="1" x14ac:dyDescent="0.25">
      <c r="A9" s="4">
        <v>2</v>
      </c>
      <c r="B9" s="166" t="str">
        <f>VLOOKUP(A9,'Data '!A3:J37,3,0)</f>
        <v>Aulia Zahra El Fikri</v>
      </c>
      <c r="C9" s="166" t="str">
        <f>VLOOKUP(A9,'Data '!A3:J37,2,0)</f>
        <v>Utsmaniyyah III</v>
      </c>
      <c r="D9" s="3"/>
      <c r="E9" s="3"/>
      <c r="F9" s="3"/>
      <c r="G9" s="3"/>
      <c r="H9" s="3"/>
      <c r="I9" s="3"/>
      <c r="J9" s="3"/>
      <c r="K9" s="3"/>
      <c r="L9" s="54">
        <f t="shared" ref="L9:L30" si="0">SUM(D9:K9)</f>
        <v>0</v>
      </c>
      <c r="M9" s="19"/>
      <c r="P9" s="89">
        <f t="shared" ref="P9:P28" si="1">SUM(D9:K9)</f>
        <v>0</v>
      </c>
      <c r="Q9" s="19"/>
      <c r="R9" s="47"/>
    </row>
    <row r="10" spans="1:21" ht="20.100000000000001" customHeight="1" x14ac:dyDescent="0.25">
      <c r="A10" s="4">
        <v>3</v>
      </c>
      <c r="B10" s="166" t="str">
        <f>VLOOKUP(A10,'Data '!A4:J38,3,0)</f>
        <v>Nur Habibi</v>
      </c>
      <c r="C10" s="166" t="str">
        <f>VLOOKUP(A10,'Data '!A4:J38,2,0)</f>
        <v>Utsmaniyyah III</v>
      </c>
      <c r="D10" s="3"/>
      <c r="E10" s="3"/>
      <c r="F10" s="3"/>
      <c r="G10" s="3"/>
      <c r="H10" s="3"/>
      <c r="I10" s="3"/>
      <c r="J10" s="3"/>
      <c r="K10" s="3"/>
      <c r="L10" s="54">
        <f t="shared" si="0"/>
        <v>0</v>
      </c>
      <c r="M10" s="19"/>
      <c r="P10" s="89">
        <f t="shared" si="1"/>
        <v>0</v>
      </c>
      <c r="Q10" s="19"/>
      <c r="R10" s="47"/>
    </row>
    <row r="11" spans="1:21" ht="20.100000000000001" customHeight="1" x14ac:dyDescent="0.25">
      <c r="A11" s="4">
        <v>4</v>
      </c>
      <c r="B11" s="166" t="str">
        <f>VLOOKUP(A11,'Data '!A5:J39,3,0)</f>
        <v>M. Fatan Azzamy Isma'il</v>
      </c>
      <c r="C11" s="166" t="str">
        <f>VLOOKUP(A11,'Data '!A5:J39,2,0)</f>
        <v>Utsmaniyyah III</v>
      </c>
      <c r="D11" s="3"/>
      <c r="E11" s="3"/>
      <c r="F11" s="3"/>
      <c r="G11" s="3"/>
      <c r="H11" s="3"/>
      <c r="I11" s="3"/>
      <c r="J11" s="3"/>
      <c r="K11" s="3"/>
      <c r="L11" s="54">
        <f t="shared" si="0"/>
        <v>0</v>
      </c>
      <c r="M11" s="19"/>
      <c r="P11" s="89">
        <f t="shared" si="1"/>
        <v>0</v>
      </c>
      <c r="Q11" s="19"/>
      <c r="R11" s="47"/>
      <c r="U11">
        <f>85/160*100</f>
        <v>53.125</v>
      </c>
    </row>
    <row r="12" spans="1:21" ht="20.100000000000001" customHeight="1" x14ac:dyDescent="0.25">
      <c r="A12" s="4">
        <v>5</v>
      </c>
      <c r="B12" s="166" t="str">
        <f>VLOOKUP(A12,'Data '!A6:J40,3,0)</f>
        <v>M. Mahi Mutawakkil</v>
      </c>
      <c r="C12" s="166" t="str">
        <f>VLOOKUP(A12,'Data '!A6:J40,2,0)</f>
        <v>Utsmaniyyah III</v>
      </c>
      <c r="D12" s="3"/>
      <c r="E12" s="3"/>
      <c r="F12" s="3"/>
      <c r="G12" s="3"/>
      <c r="H12" s="3"/>
      <c r="I12" s="3"/>
      <c r="J12" s="3"/>
      <c r="K12" s="3"/>
      <c r="L12" s="54">
        <f t="shared" si="0"/>
        <v>0</v>
      </c>
      <c r="M12" s="19"/>
      <c r="P12" s="89">
        <f t="shared" si="1"/>
        <v>0</v>
      </c>
      <c r="Q12" s="19"/>
      <c r="R12" s="47"/>
    </row>
    <row r="13" spans="1:21" ht="20.100000000000001" customHeight="1" x14ac:dyDescent="0.25">
      <c r="A13" s="4">
        <v>6</v>
      </c>
      <c r="B13" s="166" t="str">
        <f>VLOOKUP(A13,'Data '!A7:J41,3,0)</f>
        <v>Renoval Faiz Al Ghifari</v>
      </c>
      <c r="C13" s="166" t="str">
        <f>VLOOKUP(A13,'Data '!A7:J41,2,0)</f>
        <v>Utsmaniyyah III</v>
      </c>
      <c r="D13" s="3"/>
      <c r="E13" s="3"/>
      <c r="F13" s="3"/>
      <c r="G13" s="3"/>
      <c r="H13" s="3"/>
      <c r="I13" s="3"/>
      <c r="J13" s="3"/>
      <c r="K13" s="3"/>
      <c r="L13" s="54">
        <f t="shared" si="0"/>
        <v>0</v>
      </c>
      <c r="M13" s="19"/>
      <c r="P13" s="89">
        <f t="shared" si="1"/>
        <v>0</v>
      </c>
      <c r="Q13" s="19"/>
      <c r="R13" s="47"/>
    </row>
    <row r="14" spans="1:21" ht="20.100000000000001" customHeight="1" x14ac:dyDescent="0.25">
      <c r="A14" s="4">
        <v>7</v>
      </c>
      <c r="B14" s="166" t="str">
        <f>VLOOKUP(A14,'Data '!A8:J42,3,0)</f>
        <v>Sindi Wulandari</v>
      </c>
      <c r="C14" s="166" t="str">
        <f>VLOOKUP(A14,'Data '!A8:J42,2,0)</f>
        <v>Utsmaniyyah III</v>
      </c>
      <c r="D14" s="3"/>
      <c r="E14" s="3"/>
      <c r="F14" s="3"/>
      <c r="G14" s="3"/>
      <c r="H14" s="3"/>
      <c r="I14" s="3"/>
      <c r="J14" s="3"/>
      <c r="K14" s="3"/>
      <c r="L14" s="54">
        <f t="shared" si="0"/>
        <v>0</v>
      </c>
      <c r="M14" s="19"/>
      <c r="P14" s="89">
        <f t="shared" si="1"/>
        <v>0</v>
      </c>
      <c r="Q14" s="19"/>
      <c r="R14" s="47"/>
    </row>
    <row r="15" spans="1:21" ht="20.100000000000001" customHeight="1" x14ac:dyDescent="0.25">
      <c r="A15" s="4">
        <v>8</v>
      </c>
      <c r="B15" s="166">
        <f>VLOOKUP(A15,'Data '!A8:J43,3,0)</f>
        <v>0</v>
      </c>
      <c r="C15" s="166">
        <f>VLOOKUP(A15,'Data '!A8:J43,2,0)</f>
        <v>0</v>
      </c>
      <c r="D15" s="3"/>
      <c r="E15" s="3"/>
      <c r="F15" s="3"/>
      <c r="G15" s="3"/>
      <c r="H15" s="3"/>
      <c r="I15" s="3"/>
      <c r="J15" s="3"/>
      <c r="K15" s="3"/>
      <c r="L15" s="54">
        <f t="shared" si="0"/>
        <v>0</v>
      </c>
      <c r="M15" s="19"/>
      <c r="P15" s="89">
        <f t="shared" si="1"/>
        <v>0</v>
      </c>
      <c r="Q15" s="19"/>
      <c r="R15" s="47"/>
    </row>
    <row r="16" spans="1:21" ht="20.100000000000001" customHeight="1" x14ac:dyDescent="0.25">
      <c r="A16" s="4">
        <v>9</v>
      </c>
      <c r="B16" s="166">
        <f>VLOOKUP(A16,'Data '!A9:J44,3,0)</f>
        <v>0</v>
      </c>
      <c r="C16" s="166">
        <f>VLOOKUP(A16,'Data '!A9:J44,2,0)</f>
        <v>0</v>
      </c>
      <c r="D16" s="3"/>
      <c r="E16" s="3"/>
      <c r="F16" s="3"/>
      <c r="G16" s="3"/>
      <c r="H16" s="3"/>
      <c r="I16" s="3"/>
      <c r="J16" s="3"/>
      <c r="K16" s="3"/>
      <c r="L16" s="54">
        <f t="shared" si="0"/>
        <v>0</v>
      </c>
      <c r="M16" s="19"/>
      <c r="P16" s="89">
        <f t="shared" si="1"/>
        <v>0</v>
      </c>
      <c r="Q16" s="19"/>
      <c r="R16" s="47"/>
    </row>
    <row r="17" spans="1:18" ht="20.100000000000001" customHeight="1" x14ac:dyDescent="0.25">
      <c r="A17" s="4">
        <v>10</v>
      </c>
      <c r="B17" s="166">
        <f>VLOOKUP(A17,'Data '!A10:J45,3,0)</f>
        <v>0</v>
      </c>
      <c r="C17" s="166">
        <f>VLOOKUP(A17,'Data '!A10:J45,2,0)</f>
        <v>0</v>
      </c>
      <c r="D17" s="3"/>
      <c r="E17" s="3"/>
      <c r="F17" s="3"/>
      <c r="G17" s="3"/>
      <c r="H17" s="3"/>
      <c r="I17" s="3"/>
      <c r="J17" s="3"/>
      <c r="K17" s="3"/>
      <c r="L17" s="54">
        <f t="shared" si="0"/>
        <v>0</v>
      </c>
      <c r="M17" s="19"/>
      <c r="P17" s="89">
        <f t="shared" si="1"/>
        <v>0</v>
      </c>
      <c r="Q17" s="19"/>
      <c r="R17" s="47"/>
    </row>
    <row r="18" spans="1:18" ht="20.100000000000001" customHeight="1" x14ac:dyDescent="0.25">
      <c r="A18" s="4">
        <v>11</v>
      </c>
      <c r="B18" s="166">
        <f>VLOOKUP(A18,'Data '!A11:J46,3,0)</f>
        <v>0</v>
      </c>
      <c r="C18" s="166">
        <f>VLOOKUP(A18,'Data '!A11:J46,2,0)</f>
        <v>0</v>
      </c>
      <c r="D18" s="3"/>
      <c r="E18" s="3"/>
      <c r="F18" s="3"/>
      <c r="G18" s="3"/>
      <c r="H18" s="3"/>
      <c r="I18" s="3"/>
      <c r="J18" s="3"/>
      <c r="K18" s="3"/>
      <c r="L18" s="54">
        <f t="shared" si="0"/>
        <v>0</v>
      </c>
      <c r="M18" s="19"/>
      <c r="P18" s="89">
        <f t="shared" si="1"/>
        <v>0</v>
      </c>
      <c r="Q18" s="19"/>
      <c r="R18" s="47"/>
    </row>
    <row r="19" spans="1:18" ht="20.100000000000001" customHeight="1" x14ac:dyDescent="0.25">
      <c r="A19" s="4">
        <v>12</v>
      </c>
      <c r="B19" s="166">
        <f>VLOOKUP(A19,'Data '!A12:J47,3,0)</f>
        <v>0</v>
      </c>
      <c r="C19" s="166">
        <f>VLOOKUP(A19,'Data '!A12:J47,2,0)</f>
        <v>0</v>
      </c>
      <c r="D19" s="3"/>
      <c r="E19" s="3"/>
      <c r="F19" s="3"/>
      <c r="G19" s="3"/>
      <c r="H19" s="3"/>
      <c r="I19" s="3"/>
      <c r="J19" s="3"/>
      <c r="K19" s="3"/>
      <c r="L19" s="54">
        <f t="shared" si="0"/>
        <v>0</v>
      </c>
      <c r="M19" s="19"/>
      <c r="P19" s="89">
        <f t="shared" si="1"/>
        <v>0</v>
      </c>
      <c r="Q19" s="19"/>
      <c r="R19" s="47"/>
    </row>
    <row r="20" spans="1:18" ht="20.100000000000001" customHeight="1" x14ac:dyDescent="0.25">
      <c r="A20" s="4">
        <v>13</v>
      </c>
      <c r="B20" s="166">
        <f>VLOOKUP(A20,'Data '!A13:J48,3,0)</f>
        <v>0</v>
      </c>
      <c r="C20" s="166">
        <f>VLOOKUP(A20,'Data '!A13:J48,2,0)</f>
        <v>0</v>
      </c>
      <c r="D20" s="3"/>
      <c r="E20" s="3"/>
      <c r="F20" s="3"/>
      <c r="G20" s="3"/>
      <c r="H20" s="3"/>
      <c r="I20" s="3"/>
      <c r="J20" s="3"/>
      <c r="K20" s="3"/>
      <c r="L20" s="54">
        <f t="shared" si="0"/>
        <v>0</v>
      </c>
      <c r="M20" s="19"/>
      <c r="P20" s="89">
        <f t="shared" si="1"/>
        <v>0</v>
      </c>
      <c r="Q20" s="19"/>
      <c r="R20" s="47"/>
    </row>
    <row r="21" spans="1:18" ht="20.100000000000001" customHeight="1" x14ac:dyDescent="0.25">
      <c r="A21" s="4">
        <v>14</v>
      </c>
      <c r="B21" s="166">
        <f>VLOOKUP(A21,'Data '!A14:J49,3,0)</f>
        <v>0</v>
      </c>
      <c r="C21" s="166">
        <f>VLOOKUP(A21,'Data '!A14:J49,2,0)</f>
        <v>0</v>
      </c>
      <c r="D21" s="3"/>
      <c r="E21" s="3"/>
      <c r="F21" s="3"/>
      <c r="G21" s="3"/>
      <c r="H21" s="3"/>
      <c r="I21" s="3"/>
      <c r="J21" s="3"/>
      <c r="K21" s="3"/>
      <c r="L21" s="54">
        <f t="shared" si="0"/>
        <v>0</v>
      </c>
      <c r="M21" s="19"/>
      <c r="P21" s="89">
        <f t="shared" si="1"/>
        <v>0</v>
      </c>
      <c r="Q21" s="19"/>
      <c r="R21" s="47"/>
    </row>
    <row r="22" spans="1:18" ht="20.100000000000001" customHeight="1" x14ac:dyDescent="0.25">
      <c r="A22" s="4">
        <v>15</v>
      </c>
      <c r="B22" s="166">
        <f>VLOOKUP(A22,'Data '!A15:J50,3,0)</f>
        <v>0</v>
      </c>
      <c r="C22" s="166">
        <f>VLOOKUP(A22,'Data '!A15:J50,2,0)</f>
        <v>0</v>
      </c>
      <c r="D22" s="3"/>
      <c r="E22" s="3"/>
      <c r="F22" s="3"/>
      <c r="G22" s="3"/>
      <c r="H22" s="3"/>
      <c r="I22" s="3"/>
      <c r="J22" s="3"/>
      <c r="K22" s="3"/>
      <c r="L22" s="54">
        <f t="shared" si="0"/>
        <v>0</v>
      </c>
      <c r="M22" s="19"/>
      <c r="P22" s="89">
        <f t="shared" si="1"/>
        <v>0</v>
      </c>
      <c r="Q22" s="19"/>
      <c r="R22" s="47"/>
    </row>
    <row r="23" spans="1:18" ht="20.100000000000001" customHeight="1" x14ac:dyDescent="0.25">
      <c r="A23" s="4">
        <v>16</v>
      </c>
      <c r="B23" s="166">
        <f>VLOOKUP(A23,'Data '!A16:J51,3,0)</f>
        <v>0</v>
      </c>
      <c r="C23" s="166">
        <f>VLOOKUP(A23,'Data '!A16:J51,2,0)</f>
        <v>0</v>
      </c>
      <c r="D23" s="3"/>
      <c r="E23" s="3"/>
      <c r="F23" s="3"/>
      <c r="G23" s="3"/>
      <c r="H23" s="3"/>
      <c r="I23" s="3"/>
      <c r="J23" s="3"/>
      <c r="K23" s="3"/>
      <c r="L23" s="54">
        <f t="shared" si="0"/>
        <v>0</v>
      </c>
      <c r="M23" s="19"/>
      <c r="P23" s="89">
        <f t="shared" si="1"/>
        <v>0</v>
      </c>
      <c r="Q23" s="19"/>
      <c r="R23" s="47"/>
    </row>
    <row r="24" spans="1:18" ht="20.100000000000001" customHeight="1" x14ac:dyDescent="0.25">
      <c r="A24" s="4">
        <v>17</v>
      </c>
      <c r="B24" s="166">
        <f>VLOOKUP(A24,'Data '!A17:J52,3,0)</f>
        <v>0</v>
      </c>
      <c r="C24" s="166">
        <f>VLOOKUP(A24,'Data '!A17:J52,2,0)</f>
        <v>0</v>
      </c>
      <c r="D24" s="3"/>
      <c r="E24" s="3"/>
      <c r="F24" s="3"/>
      <c r="G24" s="3"/>
      <c r="H24" s="3"/>
      <c r="I24" s="3"/>
      <c r="J24" s="3"/>
      <c r="K24" s="3"/>
      <c r="L24" s="54">
        <f t="shared" si="0"/>
        <v>0</v>
      </c>
      <c r="M24" s="19"/>
      <c r="P24" s="89">
        <f t="shared" si="1"/>
        <v>0</v>
      </c>
      <c r="Q24" s="19"/>
      <c r="R24" s="47"/>
    </row>
    <row r="25" spans="1:18" ht="20.100000000000001" customHeight="1" x14ac:dyDescent="0.25">
      <c r="A25" s="4">
        <v>18</v>
      </c>
      <c r="B25" s="166">
        <f>VLOOKUP(A25,'Data '!A18:J53,3,0)</f>
        <v>0</v>
      </c>
      <c r="C25" s="166">
        <f>VLOOKUP(A25,'Data '!A18:J53,2,0)</f>
        <v>0</v>
      </c>
      <c r="D25" s="3"/>
      <c r="E25" s="3"/>
      <c r="F25" s="3"/>
      <c r="G25" s="3"/>
      <c r="H25" s="3"/>
      <c r="I25" s="3"/>
      <c r="J25" s="3"/>
      <c r="K25" s="3"/>
      <c r="L25" s="54">
        <f t="shared" si="0"/>
        <v>0</v>
      </c>
      <c r="M25" s="19"/>
      <c r="P25" s="89">
        <f t="shared" si="1"/>
        <v>0</v>
      </c>
      <c r="Q25" s="19"/>
      <c r="R25" s="47"/>
    </row>
    <row r="26" spans="1:18" ht="20.100000000000001" customHeight="1" x14ac:dyDescent="0.25">
      <c r="A26" s="4">
        <v>19</v>
      </c>
      <c r="B26" s="166">
        <f>VLOOKUP(A26,'Data '!A19:J54,3,0)</f>
        <v>0</v>
      </c>
      <c r="C26" s="166">
        <f>VLOOKUP(A26,'Data '!A19:J54,2,0)</f>
        <v>0</v>
      </c>
      <c r="D26" s="3"/>
      <c r="E26" s="3"/>
      <c r="F26" s="3"/>
      <c r="G26" s="3"/>
      <c r="H26" s="3"/>
      <c r="I26" s="3"/>
      <c r="J26" s="3"/>
      <c r="K26" s="3"/>
      <c r="L26" s="54">
        <f t="shared" si="0"/>
        <v>0</v>
      </c>
      <c r="M26" s="19"/>
      <c r="P26" s="89">
        <f t="shared" si="1"/>
        <v>0</v>
      </c>
      <c r="Q26" s="19"/>
      <c r="R26" s="47"/>
    </row>
    <row r="27" spans="1:18" ht="20.100000000000001" customHeight="1" x14ac:dyDescent="0.25">
      <c r="A27" s="4">
        <v>20</v>
      </c>
      <c r="B27" s="166">
        <f>VLOOKUP(A27,'Data '!A20:J55,3,0)</f>
        <v>0</v>
      </c>
      <c r="C27" s="166">
        <f>VLOOKUP(A27,'Data '!A20:J55,2,0)</f>
        <v>0</v>
      </c>
      <c r="D27" s="3"/>
      <c r="E27" s="3"/>
      <c r="F27" s="3"/>
      <c r="G27" s="3"/>
      <c r="H27" s="3"/>
      <c r="I27" s="3"/>
      <c r="J27" s="3"/>
      <c r="K27" s="3"/>
      <c r="L27" s="54">
        <f t="shared" si="0"/>
        <v>0</v>
      </c>
      <c r="M27" s="19"/>
      <c r="P27" s="89">
        <f t="shared" si="1"/>
        <v>0</v>
      </c>
      <c r="Q27" s="19"/>
      <c r="R27" s="47"/>
    </row>
    <row r="28" spans="1:18" ht="20.100000000000001" customHeight="1" x14ac:dyDescent="0.25">
      <c r="A28" s="4">
        <v>21</v>
      </c>
      <c r="B28" s="166">
        <f>VLOOKUP(A28,'Data '!A21:J56,3,0)</f>
        <v>0</v>
      </c>
      <c r="C28" s="166">
        <f>VLOOKUP(A28,'Data '!A21:J56,2,0)</f>
        <v>0</v>
      </c>
      <c r="D28" s="3"/>
      <c r="E28" s="3"/>
      <c r="F28" s="3"/>
      <c r="G28" s="3"/>
      <c r="H28" s="3"/>
      <c r="I28" s="3"/>
      <c r="J28" s="3"/>
      <c r="K28" s="3"/>
      <c r="L28" s="54">
        <f t="shared" si="0"/>
        <v>0</v>
      </c>
      <c r="M28" s="19"/>
      <c r="P28" s="89">
        <f t="shared" si="1"/>
        <v>0</v>
      </c>
      <c r="Q28" s="19"/>
      <c r="R28" s="47"/>
    </row>
    <row r="29" spans="1:18" ht="20.100000000000001" customHeight="1" x14ac:dyDescent="0.25">
      <c r="K29" t="str">
        <f>'Data '!H38</f>
        <v>Tambak Jaya,                   September 2025</v>
      </c>
      <c r="L29" s="54">
        <f t="shared" si="0"/>
        <v>0</v>
      </c>
    </row>
    <row r="30" spans="1:18" ht="20.100000000000001" customHeight="1" x14ac:dyDescent="0.25">
      <c r="K30" s="2" t="s">
        <v>10</v>
      </c>
      <c r="L30" s="54">
        <f t="shared" si="0"/>
        <v>0</v>
      </c>
    </row>
    <row r="31" spans="1:18" ht="20.100000000000001" customHeight="1" x14ac:dyDescent="0.25">
      <c r="K31" s="2"/>
    </row>
    <row r="32" spans="1:18" ht="20.100000000000001" customHeight="1" x14ac:dyDescent="0.25">
      <c r="K32" s="2" t="s">
        <v>11</v>
      </c>
    </row>
  </sheetData>
  <mergeCells count="9">
    <mergeCell ref="A1:M1"/>
    <mergeCell ref="A2:M2"/>
    <mergeCell ref="A5:A7"/>
    <mergeCell ref="B5:B7"/>
    <mergeCell ref="C5:C7"/>
    <mergeCell ref="D5:K5"/>
    <mergeCell ref="D6:K6"/>
    <mergeCell ref="L5:L7"/>
    <mergeCell ref="M5:M7"/>
  </mergeCells>
  <conditionalFormatting sqref="M8:M28">
    <cfRule type="cellIs" dxfId="12" priority="21" operator="equal">
      <formula>"TIDAK$8:$8 LULUS"</formula>
    </cfRule>
    <cfRule type="cellIs" dxfId="11" priority="22" operator="equal">
      <formula>"LULUS"</formula>
    </cfRule>
    <cfRule type="cellIs" dxfId="10" priority="23" operator="between">
      <formula>"LULUS"</formula>
      <formula>"TIDAK$8:$8 LULUS"</formula>
    </cfRule>
    <cfRule type="dataBar" priority="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{0F2049B4-09D4-44CB-9929-84054277E8C4}</x14:id>
        </ext>
      </extLst>
    </cfRule>
  </conditionalFormatting>
  <conditionalFormatting sqref="Q8:Q28">
    <cfRule type="cellIs" dxfId="9" priority="86" operator="equal">
      <formula>"TIDAK$8:$8 LULUS"</formula>
    </cfRule>
    <cfRule type="cellIs" dxfId="8" priority="87" operator="equal">
      <formula>"LULUS"</formula>
    </cfRule>
    <cfRule type="cellIs" dxfId="7" priority="88" operator="between">
      <formula>"LULUS"</formula>
      <formula>"TIDAK$8:$8 LULUS"</formula>
    </cfRule>
    <cfRule type="dataBar" priority="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{E38C2F51-17BE-4724-9951-611C45332023}</x14:id>
        </ext>
      </extLst>
    </cfRule>
  </conditionalFormatting>
  <pageMargins left="0.6692913385826772" right="0.43307086614173229" top="0.74803149606299213" bottom="0.74803149606299213" header="0.31496062992125984" footer="0.31496062992125984"/>
  <pageSetup paperSize="9" scale="59" orientation="landscape" horizontalDpi="4294967293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F2049B4-09D4-44CB-9929-84054277E8C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M8:M28</xm:sqref>
        </x14:conditionalFormatting>
        <x14:conditionalFormatting xmlns:xm="http://schemas.microsoft.com/office/excel/2006/main">
          <x14:cfRule type="dataBar" id="{E38C2F51-17BE-4724-9951-611C453320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Q8:Q28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A8924-6444-4745-88C2-17A83D58E1C3}">
  <sheetPr>
    <pageSetUpPr fitToPage="1"/>
  </sheetPr>
  <dimension ref="A1:Q36"/>
  <sheetViews>
    <sheetView topLeftCell="A3" zoomScale="70" zoomScaleNormal="70" workbookViewId="0">
      <selection activeCell="N14" sqref="N14"/>
    </sheetView>
  </sheetViews>
  <sheetFormatPr defaultRowHeight="20.100000000000001" customHeight="1" x14ac:dyDescent="0.25"/>
  <cols>
    <col min="1" max="1" width="5.7109375" customWidth="1"/>
    <col min="2" max="2" width="30" customWidth="1"/>
    <col min="3" max="3" width="15.7109375" customWidth="1"/>
    <col min="4" max="6" width="12.7109375" customWidth="1"/>
    <col min="7" max="13" width="6.7109375" customWidth="1"/>
    <col min="15" max="15" width="12.85546875" customWidth="1"/>
  </cols>
  <sheetData>
    <row r="1" spans="1:17" ht="20.100000000000001" customHeight="1" x14ac:dyDescent="0.25">
      <c r="A1" s="145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</row>
    <row r="2" spans="1:17" ht="20.100000000000001" customHeight="1" x14ac:dyDescent="0.25">
      <c r="A2" s="145" t="s">
        <v>12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</row>
    <row r="3" spans="1:17" ht="20.100000000000001" customHeight="1" x14ac:dyDescent="0.25">
      <c r="A3" s="2"/>
      <c r="B3" s="2"/>
      <c r="C3" s="7"/>
      <c r="D3" s="7"/>
      <c r="E3" s="7"/>
      <c r="F3" s="7"/>
      <c r="G3" s="7"/>
      <c r="H3" s="7"/>
      <c r="I3" s="7"/>
      <c r="J3" s="7"/>
      <c r="K3" s="7"/>
      <c r="L3" s="8" t="s">
        <v>13</v>
      </c>
      <c r="M3" s="2"/>
      <c r="N3" s="2" t="s">
        <v>32</v>
      </c>
      <c r="O3" s="7"/>
    </row>
    <row r="4" spans="1:17" ht="20.100000000000001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7" ht="30" customHeight="1" x14ac:dyDescent="0.25">
      <c r="A5" s="119" t="s">
        <v>1</v>
      </c>
      <c r="B5" s="146" t="s">
        <v>2</v>
      </c>
      <c r="C5" s="149" t="s">
        <v>3</v>
      </c>
      <c r="D5" s="119" t="s">
        <v>26</v>
      </c>
      <c r="E5" s="119"/>
      <c r="F5" s="119"/>
      <c r="G5" s="119"/>
      <c r="H5" s="119"/>
      <c r="I5" s="119"/>
      <c r="J5" s="119"/>
      <c r="K5" s="119"/>
      <c r="L5" s="119"/>
      <c r="M5" s="119"/>
      <c r="N5" s="5" t="s">
        <v>7</v>
      </c>
      <c r="O5" s="6" t="s">
        <v>8</v>
      </c>
    </row>
    <row r="6" spans="1:17" ht="20.100000000000001" customHeight="1" x14ac:dyDescent="0.25">
      <c r="A6" s="119"/>
      <c r="B6" s="147"/>
      <c r="C6" s="150"/>
      <c r="D6" s="6" t="s">
        <v>27</v>
      </c>
      <c r="E6" s="6" t="s">
        <v>27</v>
      </c>
      <c r="F6" s="6" t="s">
        <v>27</v>
      </c>
      <c r="G6" s="155" t="s">
        <v>31</v>
      </c>
      <c r="H6" s="156"/>
      <c r="I6" s="156"/>
      <c r="J6" s="156"/>
      <c r="K6" s="156"/>
      <c r="L6" s="156"/>
      <c r="M6" s="157"/>
      <c r="N6" s="6"/>
      <c r="O6" s="6"/>
    </row>
    <row r="7" spans="1:17" ht="20.100000000000001" customHeight="1" x14ac:dyDescent="0.25">
      <c r="A7" s="119"/>
      <c r="B7" s="148"/>
      <c r="C7" s="151"/>
      <c r="D7" s="9" t="s">
        <v>28</v>
      </c>
      <c r="E7" s="9" t="s">
        <v>29</v>
      </c>
      <c r="F7" s="9" t="s">
        <v>30</v>
      </c>
      <c r="G7" s="4">
        <v>1</v>
      </c>
      <c r="H7" s="4">
        <v>2</v>
      </c>
      <c r="I7" s="4">
        <v>3</v>
      </c>
      <c r="J7" s="4">
        <v>4</v>
      </c>
      <c r="K7" s="4">
        <v>5</v>
      </c>
      <c r="L7" s="4"/>
      <c r="M7" s="4"/>
      <c r="N7" s="3"/>
      <c r="O7" s="3"/>
    </row>
    <row r="8" spans="1:17" ht="20.100000000000001" customHeight="1" x14ac:dyDescent="0.25">
      <c r="A8" s="4">
        <v>1</v>
      </c>
      <c r="B8" s="166" t="str">
        <f>VLOOKUP(A8,'Data '!A2:J36,3,0)</f>
        <v>Ahmad Alhabib Ramadhan</v>
      </c>
      <c r="C8" s="166" t="str">
        <f>VLOOKUP(A8,'Data '!A2:J36,2,0)</f>
        <v>Utsmaniyyah III</v>
      </c>
      <c r="D8" s="3"/>
      <c r="E8" s="3"/>
      <c r="F8" s="3"/>
      <c r="G8" s="3"/>
      <c r="H8" s="3"/>
      <c r="I8" s="3"/>
      <c r="J8" s="3"/>
      <c r="K8" s="3"/>
      <c r="L8" s="3"/>
      <c r="M8" s="3"/>
      <c r="N8" s="3">
        <f>SUM(D8:M8)</f>
        <v>0</v>
      </c>
      <c r="O8" s="19"/>
      <c r="Q8" s="3">
        <f>SUM(D8:M8)</f>
        <v>0</v>
      </c>
    </row>
    <row r="9" spans="1:17" ht="20.100000000000001" customHeight="1" x14ac:dyDescent="0.25">
      <c r="A9" s="4">
        <v>2</v>
      </c>
      <c r="B9" s="166" t="str">
        <f>VLOOKUP(A9,'Data '!A3:J37,3,0)</f>
        <v>Aulia Zahra El Fikri</v>
      </c>
      <c r="C9" s="166" t="str">
        <f>VLOOKUP(A9,'Data '!A3:J37,2,0)</f>
        <v>Utsmaniyyah III</v>
      </c>
      <c r="D9" s="3"/>
      <c r="E9" s="3"/>
      <c r="F9" s="3"/>
      <c r="G9" s="3"/>
      <c r="H9" s="3"/>
      <c r="I9" s="3"/>
      <c r="J9" s="3"/>
      <c r="K9" s="3"/>
      <c r="L9" s="3"/>
      <c r="M9" s="3"/>
      <c r="N9" s="3">
        <f t="shared" ref="N9:N24" si="0">SUM(D9:M9)</f>
        <v>0</v>
      </c>
      <c r="O9" s="19"/>
      <c r="Q9" s="3">
        <f t="shared" ref="Q9:Q28" si="1">SUM(D9:M9)</f>
        <v>0</v>
      </c>
    </row>
    <row r="10" spans="1:17" ht="20.100000000000001" customHeight="1" x14ac:dyDescent="0.25">
      <c r="A10" s="4">
        <v>3</v>
      </c>
      <c r="B10" s="166" t="str">
        <f>VLOOKUP(A10,'Data '!A4:J38,3,0)</f>
        <v>Nur Habibi</v>
      </c>
      <c r="C10" s="166" t="str">
        <f>VLOOKUP(A10,'Data '!A4:J38,2,0)</f>
        <v>Utsmaniyyah III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>
        <f t="shared" si="0"/>
        <v>0</v>
      </c>
      <c r="O10" s="19"/>
      <c r="Q10" s="3">
        <f t="shared" si="1"/>
        <v>0</v>
      </c>
    </row>
    <row r="11" spans="1:17" ht="20.100000000000001" customHeight="1" x14ac:dyDescent="0.25">
      <c r="A11" s="4">
        <v>4</v>
      </c>
      <c r="B11" s="166" t="str">
        <f>VLOOKUP(A11,'Data '!A5:J39,3,0)</f>
        <v>M. Fatan Azzamy Isma'il</v>
      </c>
      <c r="C11" s="166" t="str">
        <f>VLOOKUP(A11,'Data '!A5:J39,2,0)</f>
        <v>Utsmaniyyah III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>
        <f t="shared" si="0"/>
        <v>0</v>
      </c>
      <c r="O11" s="19"/>
      <c r="Q11" s="3">
        <f t="shared" si="1"/>
        <v>0</v>
      </c>
    </row>
    <row r="12" spans="1:17" ht="20.100000000000001" customHeight="1" x14ac:dyDescent="0.25">
      <c r="A12" s="4">
        <v>5</v>
      </c>
      <c r="B12" s="166" t="str">
        <f>VLOOKUP(A12,'Data '!A6:J40,3,0)</f>
        <v>M. Mahi Mutawakkil</v>
      </c>
      <c r="C12" s="166" t="str">
        <f>VLOOKUP(A12,'Data '!A6:J40,2,0)</f>
        <v>Utsmaniyyah III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>
        <f t="shared" si="0"/>
        <v>0</v>
      </c>
      <c r="O12" s="19"/>
      <c r="Q12" s="3">
        <f t="shared" si="1"/>
        <v>0</v>
      </c>
    </row>
    <row r="13" spans="1:17" ht="20.100000000000001" customHeight="1" x14ac:dyDescent="0.25">
      <c r="A13" s="4">
        <v>6</v>
      </c>
      <c r="B13" s="166" t="str">
        <f>VLOOKUP(A13,'Data '!A7:J41,3,0)</f>
        <v>Renoval Faiz Al Ghifari</v>
      </c>
      <c r="C13" s="166" t="str">
        <f>VLOOKUP(A13,'Data '!A7:J41,2,0)</f>
        <v>Utsmaniyyah III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>
        <f t="shared" si="0"/>
        <v>0</v>
      </c>
      <c r="O13" s="19"/>
      <c r="Q13" s="3">
        <f t="shared" si="1"/>
        <v>0</v>
      </c>
    </row>
    <row r="14" spans="1:17" ht="20.100000000000001" customHeight="1" x14ac:dyDescent="0.25">
      <c r="A14" s="4">
        <v>7</v>
      </c>
      <c r="B14" s="166" t="str">
        <f>VLOOKUP(A14,'Data '!A8:J42,3,0)</f>
        <v>Sindi Wulandari</v>
      </c>
      <c r="C14" s="166" t="str">
        <f>VLOOKUP(A14,'Data '!A8:J42,2,0)</f>
        <v>Utsmaniyyah III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>
        <f t="shared" si="0"/>
        <v>0</v>
      </c>
      <c r="O14" s="19"/>
      <c r="Q14" s="3">
        <f t="shared" si="1"/>
        <v>0</v>
      </c>
    </row>
    <row r="15" spans="1:17" ht="20.100000000000001" customHeight="1" x14ac:dyDescent="0.25">
      <c r="A15" s="4">
        <v>8</v>
      </c>
      <c r="B15" s="166">
        <f>VLOOKUP(A15,'Data '!A8:J43,3,0)</f>
        <v>0</v>
      </c>
      <c r="C15" s="166">
        <f>VLOOKUP(A15,'Data '!A8:J43,2,0)</f>
        <v>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>
        <f t="shared" si="0"/>
        <v>0</v>
      </c>
      <c r="O15" s="19"/>
      <c r="Q15" s="3">
        <f t="shared" si="1"/>
        <v>0</v>
      </c>
    </row>
    <row r="16" spans="1:17" ht="20.100000000000001" customHeight="1" x14ac:dyDescent="0.25">
      <c r="A16" s="4">
        <v>9</v>
      </c>
      <c r="B16" s="166">
        <f>VLOOKUP(A16,'Data '!A9:J44,3,0)</f>
        <v>0</v>
      </c>
      <c r="C16" s="166">
        <f>VLOOKUP(A16,'Data '!A9:J44,2,0)</f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>
        <f t="shared" si="0"/>
        <v>0</v>
      </c>
      <c r="O16" s="19"/>
      <c r="Q16" s="3">
        <f t="shared" si="1"/>
        <v>0</v>
      </c>
    </row>
    <row r="17" spans="1:17" ht="20.100000000000001" customHeight="1" x14ac:dyDescent="0.25">
      <c r="A17" s="4">
        <v>10</v>
      </c>
      <c r="B17" s="166">
        <f>VLOOKUP(A17,'Data '!A10:J45,3,0)</f>
        <v>0</v>
      </c>
      <c r="C17" s="166">
        <f>VLOOKUP(A17,'Data '!A10:J45,2,0)</f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>
        <f t="shared" si="0"/>
        <v>0</v>
      </c>
      <c r="O17" s="19"/>
      <c r="Q17" s="3">
        <f t="shared" si="1"/>
        <v>0</v>
      </c>
    </row>
    <row r="18" spans="1:17" ht="20.100000000000001" customHeight="1" x14ac:dyDescent="0.25">
      <c r="A18" s="4">
        <v>11</v>
      </c>
      <c r="B18" s="166">
        <f>VLOOKUP(A18,'Data '!A11:J46,3,0)</f>
        <v>0</v>
      </c>
      <c r="C18" s="166">
        <f>VLOOKUP(A18,'Data '!A11:J46,2,0)</f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>
        <f t="shared" si="0"/>
        <v>0</v>
      </c>
      <c r="O18" s="19"/>
      <c r="Q18" s="3">
        <f t="shared" si="1"/>
        <v>0</v>
      </c>
    </row>
    <row r="19" spans="1:17" ht="20.100000000000001" customHeight="1" x14ac:dyDescent="0.25">
      <c r="A19" s="4">
        <v>12</v>
      </c>
      <c r="B19" s="166">
        <f>VLOOKUP(A19,'Data '!A12:J47,3,0)</f>
        <v>0</v>
      </c>
      <c r="C19" s="166">
        <f>VLOOKUP(A19,'Data '!A12:J47,2,0)</f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>
        <f t="shared" si="0"/>
        <v>0</v>
      </c>
      <c r="O19" s="19"/>
      <c r="Q19" s="3">
        <f t="shared" si="1"/>
        <v>0</v>
      </c>
    </row>
    <row r="20" spans="1:17" ht="20.100000000000001" customHeight="1" x14ac:dyDescent="0.25">
      <c r="A20" s="4">
        <v>13</v>
      </c>
      <c r="B20" s="166">
        <f>VLOOKUP(A20,'Data '!A13:J48,3,0)</f>
        <v>0</v>
      </c>
      <c r="C20" s="166">
        <f>VLOOKUP(A20,'Data '!A13:J48,2,0)</f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>
        <f t="shared" si="0"/>
        <v>0</v>
      </c>
      <c r="O20" s="19"/>
      <c r="Q20" s="3">
        <f t="shared" si="1"/>
        <v>0</v>
      </c>
    </row>
    <row r="21" spans="1:17" ht="20.100000000000001" customHeight="1" x14ac:dyDescent="0.25">
      <c r="A21" s="4">
        <v>14</v>
      </c>
      <c r="B21" s="166">
        <f>VLOOKUP(A21,'Data '!A14:J49,3,0)</f>
        <v>0</v>
      </c>
      <c r="C21" s="166">
        <f>VLOOKUP(A21,'Data '!A14:J49,2,0)</f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>
        <f t="shared" si="0"/>
        <v>0</v>
      </c>
      <c r="O21" s="19"/>
      <c r="Q21" s="3">
        <f t="shared" si="1"/>
        <v>0</v>
      </c>
    </row>
    <row r="22" spans="1:17" ht="20.100000000000001" customHeight="1" x14ac:dyDescent="0.25">
      <c r="A22" s="4">
        <v>15</v>
      </c>
      <c r="B22" s="166">
        <f>VLOOKUP(A22,'Data '!A15:J50,3,0)</f>
        <v>0</v>
      </c>
      <c r="C22" s="166">
        <f>VLOOKUP(A22,'Data '!A15:J50,2,0)</f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>
        <f t="shared" si="0"/>
        <v>0</v>
      </c>
      <c r="O22" s="19"/>
      <c r="Q22" s="3">
        <f t="shared" si="1"/>
        <v>0</v>
      </c>
    </row>
    <row r="23" spans="1:17" ht="20.100000000000001" customHeight="1" x14ac:dyDescent="0.25">
      <c r="A23" s="4">
        <v>16</v>
      </c>
      <c r="B23" s="166">
        <f>VLOOKUP(A23,'Data '!A16:J51,3,0)</f>
        <v>0</v>
      </c>
      <c r="C23" s="166">
        <f>VLOOKUP(A23,'Data '!A16:J51,2,0)</f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>
        <f t="shared" si="0"/>
        <v>0</v>
      </c>
      <c r="O23" s="19"/>
      <c r="Q23" s="3">
        <f t="shared" si="1"/>
        <v>0</v>
      </c>
    </row>
    <row r="24" spans="1:17" ht="20.100000000000001" customHeight="1" x14ac:dyDescent="0.25">
      <c r="A24" s="4">
        <v>17</v>
      </c>
      <c r="B24" s="166">
        <f>VLOOKUP(A24,'Data '!A17:J52,3,0)</f>
        <v>0</v>
      </c>
      <c r="C24" s="166">
        <f>VLOOKUP(A24,'Data '!A17:J52,2,0)</f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>
        <f t="shared" si="0"/>
        <v>0</v>
      </c>
      <c r="O24" s="19"/>
      <c r="Q24" s="3">
        <f t="shared" si="1"/>
        <v>0</v>
      </c>
    </row>
    <row r="25" spans="1:17" ht="20.100000000000001" customHeight="1" x14ac:dyDescent="0.25">
      <c r="A25" s="4">
        <v>18</v>
      </c>
      <c r="B25" s="166">
        <f>VLOOKUP(A25,'Data '!A18:J53,3,0)</f>
        <v>0</v>
      </c>
      <c r="C25" s="166">
        <f>VLOOKUP(A25,'Data '!A18:J53,2,0)</f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19"/>
      <c r="Q25" s="3">
        <f t="shared" si="1"/>
        <v>0</v>
      </c>
    </row>
    <row r="26" spans="1:17" ht="20.100000000000001" customHeight="1" x14ac:dyDescent="0.25">
      <c r="A26" s="4">
        <v>19</v>
      </c>
      <c r="B26" s="166">
        <f>VLOOKUP(A26,'Data '!A19:J54,3,0)</f>
        <v>0</v>
      </c>
      <c r="C26" s="166">
        <f>VLOOKUP(A26,'Data '!A19:J54,2,0)</f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19"/>
      <c r="Q26" s="3">
        <f t="shared" si="1"/>
        <v>0</v>
      </c>
    </row>
    <row r="27" spans="1:17" ht="20.100000000000001" customHeight="1" x14ac:dyDescent="0.25">
      <c r="A27" s="4">
        <v>20</v>
      </c>
      <c r="B27" s="166">
        <f>VLOOKUP(A27,'Data '!A20:J55,3,0)</f>
        <v>0</v>
      </c>
      <c r="C27" s="166">
        <f>VLOOKUP(A27,'Data '!A20:J55,2,0)</f>
        <v>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19"/>
      <c r="Q27" s="3">
        <f t="shared" si="1"/>
        <v>0</v>
      </c>
    </row>
    <row r="28" spans="1:17" ht="20.100000000000001" customHeight="1" x14ac:dyDescent="0.25">
      <c r="A28" s="4">
        <v>21</v>
      </c>
      <c r="B28" s="166">
        <f>VLOOKUP(A28,'Data '!A21:J56,3,0)</f>
        <v>0</v>
      </c>
      <c r="C28" s="166">
        <f>VLOOKUP(A28,'Data '!A21:J56,2,0)</f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19"/>
      <c r="Q28" s="3">
        <f t="shared" si="1"/>
        <v>0</v>
      </c>
    </row>
    <row r="29" spans="1:17" ht="20.100000000000001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16"/>
    </row>
    <row r="30" spans="1:17" ht="20.100000000000001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 t="str">
        <f>'Data '!H38</f>
        <v>Tambak Jaya,                   September 2025</v>
      </c>
      <c r="L30" s="2"/>
      <c r="M30" s="2"/>
      <c r="N30" s="2"/>
      <c r="O30" s="2"/>
    </row>
    <row r="31" spans="1:17" ht="20.100000000000001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 t="s">
        <v>10</v>
      </c>
      <c r="L31" s="2"/>
      <c r="M31" s="2"/>
      <c r="N31" s="2"/>
      <c r="O31" s="2"/>
    </row>
    <row r="32" spans="1:17" ht="20.100000000000001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20.100000000000001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 t="s">
        <v>11</v>
      </c>
      <c r="L33" s="2"/>
      <c r="M33" s="2"/>
      <c r="N33" s="2"/>
      <c r="O33" s="2"/>
    </row>
    <row r="34" spans="1:15" ht="20.100000000000001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20.100000000000001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20.100000000000001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</sheetData>
  <mergeCells count="7">
    <mergeCell ref="A1:O1"/>
    <mergeCell ref="A2:O2"/>
    <mergeCell ref="A5:A7"/>
    <mergeCell ref="B5:B7"/>
    <mergeCell ref="C5:C7"/>
    <mergeCell ref="D5:M5"/>
    <mergeCell ref="G6:M6"/>
  </mergeCells>
  <conditionalFormatting sqref="O8:O28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{5563FA51-8569-4EBB-BB80-17822B100A88}</x14:id>
        </ext>
      </extLst>
    </cfRule>
  </conditionalFormatting>
  <conditionalFormatting sqref="O8:O29">
    <cfRule type="cellIs" dxfId="6" priority="1" operator="equal">
      <formula>"TIDAK$8:$8 LULUS"</formula>
    </cfRule>
    <cfRule type="cellIs" dxfId="5" priority="2" operator="equal">
      <formula>"LULUS"</formula>
    </cfRule>
    <cfRule type="cellIs" dxfId="4" priority="3" operator="between">
      <formula>"LULUS"</formula>
      <formula>"TIDAK$8:$8 LULUS"</formula>
    </cfRule>
  </conditionalFormatting>
  <conditionalFormatting sqref="O29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{957A0E90-6480-41D1-B4B6-A0416D359D75}</x14:id>
        </ext>
      </extLst>
    </cfRule>
  </conditionalFormatting>
  <pageMargins left="0.70866141732283472" right="0.43307086614173229" top="0.74803149606299213" bottom="0.74803149606299213" header="0.31496062992125984" footer="0.31496062992125984"/>
  <pageSetup paperSize="9" scale="33" orientation="landscape" horizontalDpi="4294967293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563FA51-8569-4EBB-BB80-17822B100A8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O8:O28</xm:sqref>
        </x14:conditionalFormatting>
        <x14:conditionalFormatting xmlns:xm="http://schemas.microsoft.com/office/excel/2006/main">
          <x14:cfRule type="dataBar" id="{957A0E90-6480-41D1-B4B6-A0416D359D7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O29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Q38"/>
  <sheetViews>
    <sheetView topLeftCell="A4" zoomScale="85" zoomScaleNormal="85" workbookViewId="0">
      <selection activeCell="N8" sqref="N8:N20"/>
    </sheetView>
  </sheetViews>
  <sheetFormatPr defaultRowHeight="20.100000000000001" customHeight="1" x14ac:dyDescent="0.25"/>
  <cols>
    <col min="1" max="1" width="5.7109375" customWidth="1"/>
    <col min="2" max="2" width="30" customWidth="1"/>
    <col min="3" max="3" width="15.7109375" customWidth="1"/>
    <col min="4" max="6" width="12.7109375" customWidth="1"/>
    <col min="7" max="13" width="6.7109375" customWidth="1"/>
    <col min="15" max="15" width="12.85546875" customWidth="1"/>
  </cols>
  <sheetData>
    <row r="1" spans="1:17" ht="20.100000000000001" customHeight="1" x14ac:dyDescent="0.25">
      <c r="A1" s="145" t="s">
        <v>0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</row>
    <row r="2" spans="1:17" ht="20.100000000000001" customHeight="1" x14ac:dyDescent="0.25">
      <c r="A2" s="145" t="s">
        <v>12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</row>
    <row r="3" spans="1:17" ht="20.100000000000001" customHeight="1" x14ac:dyDescent="0.25">
      <c r="A3" s="2"/>
      <c r="B3" s="2"/>
      <c r="C3" s="7"/>
      <c r="D3" s="7"/>
      <c r="E3" s="7"/>
      <c r="F3" s="7"/>
      <c r="G3" s="7"/>
      <c r="H3" s="7"/>
      <c r="I3" s="7"/>
      <c r="J3" s="7"/>
      <c r="K3" s="7"/>
      <c r="L3" s="8" t="s">
        <v>13</v>
      </c>
      <c r="M3" s="2"/>
      <c r="N3" s="2" t="s">
        <v>191</v>
      </c>
      <c r="O3" s="7"/>
    </row>
    <row r="4" spans="1:17" ht="20.100000000000001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7" ht="30" customHeight="1" x14ac:dyDescent="0.25">
      <c r="A5" s="119" t="s">
        <v>1</v>
      </c>
      <c r="B5" s="146" t="s">
        <v>2</v>
      </c>
      <c r="C5" s="149" t="s">
        <v>3</v>
      </c>
      <c r="D5" s="119" t="s">
        <v>34</v>
      </c>
      <c r="E5" s="119"/>
      <c r="F5" s="119"/>
      <c r="G5" s="119"/>
      <c r="H5" s="119"/>
      <c r="I5" s="119"/>
      <c r="J5" s="119"/>
      <c r="K5" s="119"/>
      <c r="L5" s="119"/>
      <c r="M5" s="119"/>
      <c r="N5" s="5" t="s">
        <v>7</v>
      </c>
      <c r="O5" s="6" t="s">
        <v>8</v>
      </c>
    </row>
    <row r="6" spans="1:17" ht="20.100000000000001" customHeight="1" x14ac:dyDescent="0.25">
      <c r="A6" s="119"/>
      <c r="B6" s="147"/>
      <c r="C6" s="150"/>
      <c r="D6" s="6" t="s">
        <v>33</v>
      </c>
      <c r="E6" s="6"/>
      <c r="F6" s="6"/>
      <c r="G6" s="155" t="s">
        <v>176</v>
      </c>
      <c r="H6" s="156"/>
      <c r="I6" s="156"/>
      <c r="J6" s="156"/>
      <c r="K6" s="156"/>
      <c r="L6" s="156"/>
      <c r="M6" s="157"/>
      <c r="N6" s="6"/>
      <c r="O6" s="6"/>
    </row>
    <row r="7" spans="1:17" ht="20.100000000000001" customHeight="1" x14ac:dyDescent="0.25">
      <c r="A7" s="119"/>
      <c r="B7" s="148"/>
      <c r="C7" s="151"/>
      <c r="D7" s="9" t="s">
        <v>38</v>
      </c>
      <c r="E7" s="9"/>
      <c r="F7" s="9"/>
      <c r="G7" s="4">
        <v>1</v>
      </c>
      <c r="H7" s="4">
        <v>2</v>
      </c>
      <c r="I7" s="4">
        <v>3</v>
      </c>
      <c r="J7" s="4">
        <v>4</v>
      </c>
      <c r="K7" s="4">
        <v>5</v>
      </c>
      <c r="L7" s="4">
        <v>6</v>
      </c>
      <c r="M7" s="4"/>
      <c r="N7" s="3"/>
      <c r="O7" s="3"/>
    </row>
    <row r="8" spans="1:17" ht="20.100000000000001" customHeight="1" x14ac:dyDescent="0.25">
      <c r="A8" s="4">
        <v>1</v>
      </c>
      <c r="B8" s="166" t="str">
        <f>VLOOKUP(A8,'Data '!A2:J36,3,0)</f>
        <v>Ahmad Alhabib Ramadhan</v>
      </c>
      <c r="C8" s="166" t="str">
        <f>VLOOKUP(A8,'Data '!A2:J36,2,0)</f>
        <v>Utsmaniyyah III</v>
      </c>
      <c r="D8" s="3"/>
      <c r="E8" s="3"/>
      <c r="F8" s="3"/>
      <c r="G8" s="3"/>
      <c r="H8" s="3"/>
      <c r="I8" s="3"/>
      <c r="J8" s="3"/>
      <c r="K8" s="3"/>
      <c r="L8" s="3"/>
      <c r="M8" s="3"/>
      <c r="N8" s="3">
        <f>SUM(D8:M8)</f>
        <v>0</v>
      </c>
      <c r="O8" s="19"/>
      <c r="Q8" s="3">
        <f>SUM(D8:M8)</f>
        <v>0</v>
      </c>
    </row>
    <row r="9" spans="1:17" ht="20.100000000000001" customHeight="1" x14ac:dyDescent="0.25">
      <c r="A9" s="4">
        <v>2</v>
      </c>
      <c r="B9" s="166" t="str">
        <f>VLOOKUP(A9,'Data '!A3:J37,3,0)</f>
        <v>Aulia Zahra El Fikri</v>
      </c>
      <c r="C9" s="166" t="str">
        <f>VLOOKUP(A9,'Data '!A3:J37,2,0)</f>
        <v>Utsmaniyyah III</v>
      </c>
      <c r="D9" s="3"/>
      <c r="E9" s="3"/>
      <c r="F9" s="3"/>
      <c r="G9" s="3"/>
      <c r="H9" s="3"/>
      <c r="I9" s="3"/>
      <c r="J9" s="3"/>
      <c r="K9" s="3"/>
      <c r="L9" s="3"/>
      <c r="M9" s="3"/>
      <c r="N9" s="3">
        <f t="shared" ref="N9:N20" si="0">SUM(D9:M9)</f>
        <v>0</v>
      </c>
      <c r="O9" s="19"/>
      <c r="Q9" s="3">
        <f t="shared" ref="Q9:Q28" si="1">SUM(D9:M9)</f>
        <v>0</v>
      </c>
    </row>
    <row r="10" spans="1:17" ht="20.100000000000001" customHeight="1" x14ac:dyDescent="0.25">
      <c r="A10" s="4">
        <v>3</v>
      </c>
      <c r="B10" s="166" t="str">
        <f>VLOOKUP(A10,'Data '!A4:J38,3,0)</f>
        <v>Nur Habibi</v>
      </c>
      <c r="C10" s="166" t="str">
        <f>VLOOKUP(A10,'Data '!A4:J38,2,0)</f>
        <v>Utsmaniyyah III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>
        <f t="shared" si="0"/>
        <v>0</v>
      </c>
      <c r="O10" s="19"/>
      <c r="Q10" s="3">
        <f t="shared" si="1"/>
        <v>0</v>
      </c>
    </row>
    <row r="11" spans="1:17" ht="20.100000000000001" customHeight="1" x14ac:dyDescent="0.25">
      <c r="A11" s="4">
        <v>4</v>
      </c>
      <c r="B11" s="166" t="str">
        <f>VLOOKUP(A11,'Data '!A5:J39,3,0)</f>
        <v>M. Fatan Azzamy Isma'il</v>
      </c>
      <c r="C11" s="166" t="str">
        <f>VLOOKUP(A11,'Data '!A5:J39,2,0)</f>
        <v>Utsmaniyyah III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>
        <f t="shared" si="0"/>
        <v>0</v>
      </c>
      <c r="O11" s="19"/>
      <c r="Q11" s="3">
        <f t="shared" si="1"/>
        <v>0</v>
      </c>
    </row>
    <row r="12" spans="1:17" ht="20.100000000000001" customHeight="1" x14ac:dyDescent="0.25">
      <c r="A12" s="4">
        <v>5</v>
      </c>
      <c r="B12" s="166" t="str">
        <f>VLOOKUP(A12,'Data '!A6:J40,3,0)</f>
        <v>M. Mahi Mutawakkil</v>
      </c>
      <c r="C12" s="166" t="str">
        <f>VLOOKUP(A12,'Data '!A6:J40,2,0)</f>
        <v>Utsmaniyyah III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>
        <f t="shared" si="0"/>
        <v>0</v>
      </c>
      <c r="O12" s="19"/>
      <c r="Q12" s="3">
        <f t="shared" si="1"/>
        <v>0</v>
      </c>
    </row>
    <row r="13" spans="1:17" ht="20.100000000000001" customHeight="1" x14ac:dyDescent="0.25">
      <c r="A13" s="4">
        <v>6</v>
      </c>
      <c r="B13" s="166" t="str">
        <f>VLOOKUP(A13,'Data '!A7:J41,3,0)</f>
        <v>Renoval Faiz Al Ghifari</v>
      </c>
      <c r="C13" s="166" t="str">
        <f>VLOOKUP(A13,'Data '!A7:J41,2,0)</f>
        <v>Utsmaniyyah III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>
        <f t="shared" si="0"/>
        <v>0</v>
      </c>
      <c r="O13" s="19"/>
      <c r="Q13" s="3">
        <f t="shared" si="1"/>
        <v>0</v>
      </c>
    </row>
    <row r="14" spans="1:17" ht="20.100000000000001" customHeight="1" x14ac:dyDescent="0.25">
      <c r="A14" s="4">
        <v>7</v>
      </c>
      <c r="B14" s="166" t="str">
        <f>VLOOKUP(A14,'Data '!A8:J42,3,0)</f>
        <v>Sindi Wulandari</v>
      </c>
      <c r="C14" s="166" t="str">
        <f>VLOOKUP(A14,'Data '!A8:J42,2,0)</f>
        <v>Utsmaniyyah III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>
        <f t="shared" si="0"/>
        <v>0</v>
      </c>
      <c r="O14" s="19"/>
      <c r="Q14" s="3">
        <f t="shared" si="1"/>
        <v>0</v>
      </c>
    </row>
    <row r="15" spans="1:17" ht="20.100000000000001" customHeight="1" x14ac:dyDescent="0.25">
      <c r="A15" s="4">
        <v>8</v>
      </c>
      <c r="B15" s="166">
        <f>VLOOKUP(A15,'Data '!A8:J43,3,0)</f>
        <v>0</v>
      </c>
      <c r="C15" s="166">
        <f>VLOOKUP(A15,'Data '!A8:J43,2,0)</f>
        <v>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>
        <f t="shared" si="0"/>
        <v>0</v>
      </c>
      <c r="O15" s="19"/>
      <c r="Q15" s="3">
        <f t="shared" si="1"/>
        <v>0</v>
      </c>
    </row>
    <row r="16" spans="1:17" ht="20.100000000000001" customHeight="1" x14ac:dyDescent="0.25">
      <c r="A16" s="4">
        <v>9</v>
      </c>
      <c r="B16" s="166">
        <f>VLOOKUP(A16,'Data '!A9:J44,3,0)</f>
        <v>0</v>
      </c>
      <c r="C16" s="166">
        <f>VLOOKUP(A16,'Data '!A9:J44,2,0)</f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>
        <f t="shared" si="0"/>
        <v>0</v>
      </c>
      <c r="O16" s="19"/>
      <c r="Q16" s="3">
        <f t="shared" si="1"/>
        <v>0</v>
      </c>
    </row>
    <row r="17" spans="1:17" ht="20.100000000000001" customHeight="1" x14ac:dyDescent="0.25">
      <c r="A17" s="4">
        <v>10</v>
      </c>
      <c r="B17" s="166">
        <f>VLOOKUP(A17,'Data '!A10:J45,3,0)</f>
        <v>0</v>
      </c>
      <c r="C17" s="166">
        <f>VLOOKUP(A17,'Data '!A10:J45,2,0)</f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>
        <f t="shared" si="0"/>
        <v>0</v>
      </c>
      <c r="O17" s="19"/>
      <c r="Q17" s="3">
        <f t="shared" si="1"/>
        <v>0</v>
      </c>
    </row>
    <row r="18" spans="1:17" ht="20.100000000000001" customHeight="1" x14ac:dyDescent="0.25">
      <c r="A18" s="4">
        <v>11</v>
      </c>
      <c r="B18" s="166">
        <f>VLOOKUP(A18,'Data '!A11:J46,3,0)</f>
        <v>0</v>
      </c>
      <c r="C18" s="166">
        <f>VLOOKUP(A18,'Data '!A11:J46,2,0)</f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>
        <f t="shared" si="0"/>
        <v>0</v>
      </c>
      <c r="O18" s="19"/>
      <c r="Q18" s="3">
        <f t="shared" si="1"/>
        <v>0</v>
      </c>
    </row>
    <row r="19" spans="1:17" ht="20.100000000000001" customHeight="1" x14ac:dyDescent="0.25">
      <c r="A19" s="4">
        <v>12</v>
      </c>
      <c r="B19" s="166">
        <f>VLOOKUP(A19,'Data '!A12:J47,3,0)</f>
        <v>0</v>
      </c>
      <c r="C19" s="166">
        <f>VLOOKUP(A19,'Data '!A12:J47,2,0)</f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>
        <f t="shared" si="0"/>
        <v>0</v>
      </c>
      <c r="O19" s="19"/>
      <c r="Q19" s="3">
        <f t="shared" si="1"/>
        <v>0</v>
      </c>
    </row>
    <row r="20" spans="1:17" ht="20.100000000000001" customHeight="1" x14ac:dyDescent="0.25">
      <c r="A20" s="4">
        <v>13</v>
      </c>
      <c r="B20" s="166">
        <f>VLOOKUP(A20,'Data '!A13:J48,3,0)</f>
        <v>0</v>
      </c>
      <c r="C20" s="166">
        <f>VLOOKUP(A20,'Data '!A13:J48,2,0)</f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>
        <f t="shared" si="0"/>
        <v>0</v>
      </c>
      <c r="O20" s="19"/>
      <c r="Q20" s="3">
        <f t="shared" si="1"/>
        <v>0</v>
      </c>
    </row>
    <row r="21" spans="1:17" ht="20.100000000000001" customHeight="1" x14ac:dyDescent="0.25">
      <c r="A21" s="4">
        <v>14</v>
      </c>
      <c r="B21" s="166">
        <f>VLOOKUP(A21,'Data '!A14:J49,3,0)</f>
        <v>0</v>
      </c>
      <c r="C21" s="166">
        <f>VLOOKUP(A21,'Data '!A14:J49,2,0)</f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19"/>
      <c r="Q21" s="3">
        <f t="shared" si="1"/>
        <v>0</v>
      </c>
    </row>
    <row r="22" spans="1:17" ht="20.100000000000001" customHeight="1" x14ac:dyDescent="0.25">
      <c r="A22" s="4">
        <v>15</v>
      </c>
      <c r="B22" s="166">
        <f>VLOOKUP(A22,'Data '!A15:J50,3,0)</f>
        <v>0</v>
      </c>
      <c r="C22" s="166">
        <f>VLOOKUP(A22,'Data '!A15:J50,2,0)</f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19"/>
      <c r="Q22" s="3">
        <f t="shared" si="1"/>
        <v>0</v>
      </c>
    </row>
    <row r="23" spans="1:17" ht="20.100000000000001" customHeight="1" x14ac:dyDescent="0.25">
      <c r="A23" s="4">
        <v>16</v>
      </c>
      <c r="B23" s="166">
        <f>VLOOKUP(A23,'Data '!A16:J51,3,0)</f>
        <v>0</v>
      </c>
      <c r="C23" s="166">
        <f>VLOOKUP(A23,'Data '!A16:J51,2,0)</f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19"/>
      <c r="Q23" s="3">
        <f t="shared" si="1"/>
        <v>0</v>
      </c>
    </row>
    <row r="24" spans="1:17" ht="20.100000000000001" customHeight="1" x14ac:dyDescent="0.25">
      <c r="A24" s="4">
        <v>17</v>
      </c>
      <c r="B24" s="166">
        <f>VLOOKUP(A24,'Data '!A17:J52,3,0)</f>
        <v>0</v>
      </c>
      <c r="C24" s="166">
        <f>VLOOKUP(A24,'Data '!A17:J52,2,0)</f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19"/>
      <c r="Q24" s="3">
        <f t="shared" si="1"/>
        <v>0</v>
      </c>
    </row>
    <row r="25" spans="1:17" ht="20.100000000000001" customHeight="1" x14ac:dyDescent="0.25">
      <c r="A25" s="4">
        <v>18</v>
      </c>
      <c r="B25" s="166">
        <f>VLOOKUP(A25,'Data '!A18:J53,3,0)</f>
        <v>0</v>
      </c>
      <c r="C25" s="166">
        <f>VLOOKUP(A25,'Data '!A18:J53,2,0)</f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19"/>
      <c r="Q25" s="3">
        <f t="shared" si="1"/>
        <v>0</v>
      </c>
    </row>
    <row r="26" spans="1:17" ht="20.100000000000001" customHeight="1" x14ac:dyDescent="0.25">
      <c r="A26" s="4">
        <v>19</v>
      </c>
      <c r="B26" s="166">
        <f>VLOOKUP(A26,'Data '!A19:J54,3,0)</f>
        <v>0</v>
      </c>
      <c r="C26" s="166">
        <f>VLOOKUP(A26,'Data '!A19:J54,2,0)</f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19"/>
      <c r="Q26" s="3">
        <f t="shared" si="1"/>
        <v>0</v>
      </c>
    </row>
    <row r="27" spans="1:17" ht="20.100000000000001" customHeight="1" x14ac:dyDescent="0.25">
      <c r="A27" s="4">
        <v>20</v>
      </c>
      <c r="B27" s="166">
        <f>VLOOKUP(A27,'Data '!A20:J55,3,0)</f>
        <v>0</v>
      </c>
      <c r="C27" s="166">
        <f>VLOOKUP(A27,'Data '!A20:J55,2,0)</f>
        <v>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19"/>
      <c r="Q27" s="3">
        <f t="shared" si="1"/>
        <v>0</v>
      </c>
    </row>
    <row r="28" spans="1:17" ht="20.100000000000001" customHeight="1" x14ac:dyDescent="0.25">
      <c r="A28" s="4">
        <v>21</v>
      </c>
      <c r="B28" s="166">
        <f>VLOOKUP(A28,'Data '!A21:J56,3,0)</f>
        <v>0</v>
      </c>
      <c r="C28" s="166">
        <f>VLOOKUP(A28,'Data '!A21:J56,2,0)</f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19"/>
      <c r="Q28" s="3">
        <f t="shared" si="1"/>
        <v>0</v>
      </c>
    </row>
    <row r="29" spans="1:17" ht="20.100000000000001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16"/>
    </row>
    <row r="30" spans="1:17" ht="20.100000000000001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 t="str">
        <f>'Data '!H38</f>
        <v>Tambak Jaya,                   September 2025</v>
      </c>
      <c r="L30" s="2"/>
      <c r="M30" s="2"/>
      <c r="N30" s="2"/>
      <c r="O30" s="2"/>
    </row>
    <row r="31" spans="1:17" ht="20.100000000000001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 t="s">
        <v>10</v>
      </c>
      <c r="L31" s="2"/>
      <c r="M31" s="2"/>
      <c r="N31" s="2"/>
      <c r="O31" s="2"/>
    </row>
    <row r="32" spans="1:17" ht="20.100000000000001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 ht="20.100000000000001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 t="s">
        <v>11</v>
      </c>
      <c r="L33" s="2"/>
      <c r="M33" s="2"/>
      <c r="N33" s="2"/>
      <c r="O33" s="2"/>
    </row>
    <row r="34" spans="1:15" ht="20.100000000000001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ht="20.100000000000001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20.100000000000001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ht="20.100000000000001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ht="20.100000000000001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</sheetData>
  <mergeCells count="7">
    <mergeCell ref="A1:O1"/>
    <mergeCell ref="A2:O2"/>
    <mergeCell ref="A5:A7"/>
    <mergeCell ref="B5:B7"/>
    <mergeCell ref="C5:C7"/>
    <mergeCell ref="D5:M5"/>
    <mergeCell ref="G6:M6"/>
  </mergeCells>
  <conditionalFormatting sqref="O8:O28">
    <cfRule type="dataBar" priority="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{AC501C7B-3624-4AEB-BBBB-6126FD547291}</x14:id>
        </ext>
      </extLst>
    </cfRule>
  </conditionalFormatting>
  <conditionalFormatting sqref="O8:O29">
    <cfRule type="cellIs" dxfId="3" priority="78" operator="equal">
      <formula>"TIDAK$8:$8 LULUS"</formula>
    </cfRule>
    <cfRule type="cellIs" dxfId="2" priority="79" operator="equal">
      <formula>"LULUS"</formula>
    </cfRule>
    <cfRule type="cellIs" dxfId="1" priority="80" operator="between">
      <formula>"LULUS"</formula>
      <formula>"TIDAK$8:$8 LULUS"</formula>
    </cfRule>
  </conditionalFormatting>
  <conditionalFormatting sqref="O29">
    <cfRule type="dataBar" priority="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{1E2DD401-98A3-401A-93D3-8F2BFA69AF3A}</x14:id>
        </ext>
      </extLst>
    </cfRule>
  </conditionalFormatting>
  <pageMargins left="0.70866141732283472" right="0.43307086614173229" top="0.74803149606299213" bottom="0.74803149606299213" header="0.31496062992125984" footer="0.31496062992125984"/>
  <pageSetup paperSize="9" scale="33" orientation="landscape" horizontalDpi="4294967293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C501C7B-3624-4AEB-BBBB-6126FD5472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O8:O28</xm:sqref>
        </x14:conditionalFormatting>
        <x14:conditionalFormatting xmlns:xm="http://schemas.microsoft.com/office/excel/2006/main">
          <x14:cfRule type="dataBar" id="{1E2DD401-98A3-401A-93D3-8F2BFA69AF3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O29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47"/>
  <sheetViews>
    <sheetView view="pageBreakPreview" zoomScale="75" zoomScaleSheetLayoutView="75" workbookViewId="0">
      <selection activeCell="H10" sqref="H10"/>
    </sheetView>
  </sheetViews>
  <sheetFormatPr defaultRowHeight="20.100000000000001" customHeight="1" x14ac:dyDescent="0.25"/>
  <cols>
    <col min="1" max="1" width="4.7109375" style="15" customWidth="1"/>
    <col min="2" max="2" width="23.140625" style="15" customWidth="1"/>
    <col min="3" max="3" width="21.140625" style="15" customWidth="1"/>
    <col min="4" max="13" width="7.7109375" style="15" customWidth="1"/>
    <col min="14" max="14" width="9.140625" style="15"/>
    <col min="15" max="15" width="12.140625" style="15" customWidth="1"/>
    <col min="16" max="16384" width="9.140625" style="15"/>
  </cols>
  <sheetData>
    <row r="1" spans="1:15" ht="20.100000000000001" customHeight="1" x14ac:dyDescent="0.25">
      <c r="A1" s="159" t="s">
        <v>0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</row>
    <row r="2" spans="1:15" ht="20.100000000000001" customHeight="1" x14ac:dyDescent="0.25">
      <c r="A2" s="159" t="s">
        <v>12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</row>
    <row r="3" spans="1:15" ht="20.100000000000001" customHeight="1" x14ac:dyDescent="0.25">
      <c r="A3" s="16"/>
      <c r="B3" s="16"/>
      <c r="C3" s="17"/>
      <c r="D3" s="17"/>
      <c r="E3" s="17"/>
      <c r="F3" s="17"/>
      <c r="G3" s="17"/>
      <c r="H3" s="17"/>
      <c r="I3" s="17"/>
      <c r="J3" s="17"/>
      <c r="K3" s="17"/>
      <c r="L3" s="18"/>
      <c r="M3" s="16"/>
      <c r="N3" s="16"/>
      <c r="O3" s="17"/>
    </row>
    <row r="4" spans="1:15" ht="20.100000000000001" customHeight="1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5" ht="20.100000000000001" customHeight="1" x14ac:dyDescent="0.25">
      <c r="A5" s="158" t="s">
        <v>1</v>
      </c>
      <c r="B5" s="158" t="s">
        <v>2</v>
      </c>
      <c r="C5" s="158" t="s">
        <v>3</v>
      </c>
      <c r="D5" s="158" t="s">
        <v>52</v>
      </c>
      <c r="E5" s="158"/>
      <c r="F5" s="158"/>
      <c r="G5" s="158"/>
      <c r="H5" s="158"/>
      <c r="I5" s="158"/>
      <c r="J5" s="158"/>
      <c r="K5" s="158"/>
      <c r="L5" s="158"/>
      <c r="M5" s="158"/>
      <c r="N5" s="160" t="s">
        <v>7</v>
      </c>
      <c r="O5" s="158" t="s">
        <v>8</v>
      </c>
    </row>
    <row r="6" spans="1:15" ht="20.100000000000001" customHeight="1" x14ac:dyDescent="0.25">
      <c r="A6" s="158"/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60"/>
      <c r="O6" s="158"/>
    </row>
    <row r="7" spans="1:15" ht="20.100000000000001" customHeight="1" x14ac:dyDescent="0.25">
      <c r="A7" s="158"/>
      <c r="B7" s="158"/>
      <c r="C7" s="158"/>
      <c r="D7" s="36">
        <v>1</v>
      </c>
      <c r="E7" s="36">
        <v>2</v>
      </c>
      <c r="F7" s="36">
        <v>3</v>
      </c>
      <c r="G7" s="36">
        <v>4</v>
      </c>
      <c r="H7" s="36">
        <v>5</v>
      </c>
      <c r="I7" s="36">
        <v>6</v>
      </c>
      <c r="J7" s="36">
        <v>7</v>
      </c>
      <c r="K7" s="36">
        <v>8</v>
      </c>
      <c r="L7" s="36">
        <v>9</v>
      </c>
      <c r="M7" s="36"/>
      <c r="N7" s="160"/>
      <c r="O7" s="158"/>
    </row>
    <row r="8" spans="1:15" ht="20.100000000000001" customHeight="1" x14ac:dyDescent="0.25">
      <c r="A8" s="37">
        <v>1</v>
      </c>
      <c r="B8" s="19" t="str">
        <f>Data!B4</f>
        <v>Ahmad Ma'ruf</v>
      </c>
      <c r="C8" s="19" t="str">
        <f>Data!C4</f>
        <v>Utsmaniyyah II</v>
      </c>
      <c r="D8" s="40"/>
      <c r="E8" s="39"/>
      <c r="F8" s="39"/>
      <c r="G8" s="40"/>
      <c r="H8" s="39"/>
      <c r="I8" s="39"/>
      <c r="J8" s="39"/>
      <c r="K8" s="39"/>
      <c r="L8" s="40"/>
      <c r="M8" s="22"/>
      <c r="N8" s="19"/>
      <c r="O8" s="19"/>
    </row>
    <row r="9" spans="1:15" ht="20.100000000000001" customHeight="1" x14ac:dyDescent="0.25">
      <c r="A9" s="37">
        <v>2</v>
      </c>
      <c r="B9" s="19" t="str">
        <f>Data!B5</f>
        <v>Ahmad Nidlomi</v>
      </c>
      <c r="C9" s="19" t="str">
        <f>Data!C5</f>
        <v>Utsmaniyyah II</v>
      </c>
      <c r="D9" s="40"/>
      <c r="E9" s="39"/>
      <c r="F9" s="39"/>
      <c r="G9" s="39"/>
      <c r="H9" s="39"/>
      <c r="I9" s="39"/>
      <c r="J9" s="39"/>
      <c r="K9" s="39"/>
      <c r="L9" s="39"/>
      <c r="M9" s="22"/>
      <c r="N9" s="19"/>
      <c r="O9" s="19"/>
    </row>
    <row r="10" spans="1:15" ht="20.100000000000001" customHeight="1" x14ac:dyDescent="0.25">
      <c r="A10" s="37">
        <v>3</v>
      </c>
      <c r="B10" s="19" t="str">
        <f>Data!B6</f>
        <v>A'ti Lailatin Na'im</v>
      </c>
      <c r="C10" s="19" t="str">
        <f>Data!C6</f>
        <v>Utsmaniyyah II</v>
      </c>
      <c r="D10" s="40"/>
      <c r="E10" s="39"/>
      <c r="F10" s="39"/>
      <c r="G10" s="39"/>
      <c r="H10" s="40"/>
      <c r="I10" s="39"/>
      <c r="J10" s="39"/>
      <c r="K10" s="39"/>
      <c r="L10" s="40"/>
      <c r="M10" s="22"/>
      <c r="N10" s="19"/>
      <c r="O10" s="19"/>
    </row>
    <row r="11" spans="1:15" ht="20.100000000000001" customHeight="1" x14ac:dyDescent="0.25">
      <c r="A11" s="37">
        <v>4</v>
      </c>
      <c r="B11" s="19" t="str">
        <f>Data!B7</f>
        <v>Aulia Zahra</v>
      </c>
      <c r="C11" s="19" t="str">
        <f>Data!C7</f>
        <v>Utsmaniyyah II</v>
      </c>
      <c r="D11" s="40"/>
      <c r="E11" s="39"/>
      <c r="F11" s="39"/>
      <c r="G11" s="39"/>
      <c r="H11" s="39"/>
      <c r="I11" s="39"/>
      <c r="J11" s="39"/>
      <c r="K11" s="39"/>
      <c r="L11" s="39"/>
      <c r="M11" s="22"/>
      <c r="N11" s="19"/>
      <c r="O11" s="19"/>
    </row>
    <row r="12" spans="1:15" ht="20.100000000000001" customHeight="1" x14ac:dyDescent="0.25">
      <c r="A12" s="37">
        <v>5</v>
      </c>
      <c r="B12" s="19" t="str">
        <f>Data!B8</f>
        <v>Aura Berliana Matin</v>
      </c>
      <c r="C12" s="19" t="str">
        <f>Data!C8</f>
        <v>Utsmaniyyah II</v>
      </c>
      <c r="D12" s="40"/>
      <c r="E12" s="39"/>
      <c r="F12" s="39"/>
      <c r="G12" s="40"/>
      <c r="H12" s="39"/>
      <c r="I12" s="39"/>
      <c r="J12" s="39"/>
      <c r="K12" s="39"/>
      <c r="L12" s="39"/>
      <c r="M12" s="22"/>
      <c r="N12" s="19"/>
      <c r="O12" s="19"/>
    </row>
    <row r="13" spans="1:15" ht="20.100000000000001" customHeight="1" x14ac:dyDescent="0.25">
      <c r="A13" s="37">
        <v>6</v>
      </c>
      <c r="B13" s="19" t="str">
        <f>Data!B9</f>
        <v>Evi Nurmala Sari</v>
      </c>
      <c r="C13" s="19" t="str">
        <f>Data!C9</f>
        <v>Utsmaniyyah II</v>
      </c>
      <c r="D13" s="40"/>
      <c r="E13" s="39"/>
      <c r="F13" s="39"/>
      <c r="G13" s="39"/>
      <c r="H13" s="39"/>
      <c r="I13" s="39"/>
      <c r="J13" s="39"/>
      <c r="K13" s="39"/>
      <c r="L13" s="39"/>
      <c r="M13" s="22"/>
      <c r="N13" s="19"/>
      <c r="O13" s="19"/>
    </row>
    <row r="14" spans="1:15" ht="20.100000000000001" customHeight="1" x14ac:dyDescent="0.25">
      <c r="A14" s="37">
        <v>7</v>
      </c>
      <c r="B14" s="19" t="str">
        <f>Data!B10</f>
        <v>Halimah Sa'diyah</v>
      </c>
      <c r="C14" s="19" t="str">
        <f>Data!C10</f>
        <v>Utsmaniyyah II</v>
      </c>
      <c r="D14" s="40"/>
      <c r="E14" s="39"/>
      <c r="F14" s="39"/>
      <c r="G14" s="39"/>
      <c r="H14" s="39"/>
      <c r="I14" s="39"/>
      <c r="J14" s="39"/>
      <c r="K14" s="40"/>
      <c r="L14" s="40"/>
      <c r="M14" s="22"/>
      <c r="N14" s="19"/>
      <c r="O14" s="19"/>
    </row>
    <row r="15" spans="1:15" ht="20.100000000000001" customHeight="1" x14ac:dyDescent="0.25">
      <c r="A15" s="37">
        <v>8</v>
      </c>
      <c r="B15" s="19" t="str">
        <f>Data!B11</f>
        <v>Halimah Sya'diah</v>
      </c>
      <c r="C15" s="19" t="str">
        <f>Data!C11</f>
        <v>Utsmaniyyah II</v>
      </c>
      <c r="D15" s="40"/>
      <c r="E15" s="39"/>
      <c r="F15" s="39"/>
      <c r="G15" s="39"/>
      <c r="H15" s="39"/>
      <c r="I15" s="39"/>
      <c r="J15" s="39"/>
      <c r="K15" s="39"/>
      <c r="L15" s="39"/>
      <c r="M15" s="22"/>
      <c r="N15" s="19"/>
      <c r="O15" s="19"/>
    </row>
    <row r="16" spans="1:15" ht="20.100000000000001" customHeight="1" x14ac:dyDescent="0.25">
      <c r="A16" s="37">
        <v>9</v>
      </c>
      <c r="B16" s="19" t="str">
        <f>Data!B12</f>
        <v>Heru Setiawan</v>
      </c>
      <c r="C16" s="19" t="str">
        <f>Data!C12</f>
        <v>Utsmaniyyah II</v>
      </c>
      <c r="D16" s="39"/>
      <c r="E16" s="39"/>
      <c r="F16" s="39"/>
      <c r="G16" s="39"/>
      <c r="H16" s="39"/>
      <c r="I16" s="39"/>
      <c r="J16" s="39"/>
      <c r="K16" s="39"/>
      <c r="L16" s="40"/>
      <c r="M16" s="22"/>
      <c r="N16" s="19"/>
      <c r="O16" s="19"/>
    </row>
    <row r="17" spans="1:15" ht="20.100000000000001" customHeight="1" x14ac:dyDescent="0.25">
      <c r="A17" s="37">
        <v>10</v>
      </c>
      <c r="B17" s="19" t="str">
        <f>Data!B13</f>
        <v>Iis Qomariyah</v>
      </c>
      <c r="C17" s="19" t="str">
        <f>Data!C13</f>
        <v>Utsmaniyyah II</v>
      </c>
      <c r="D17" s="40"/>
      <c r="E17" s="39"/>
      <c r="F17" s="39"/>
      <c r="G17" s="39"/>
      <c r="H17" s="39"/>
      <c r="I17" s="39"/>
      <c r="J17" s="39"/>
      <c r="K17" s="39"/>
      <c r="L17" s="39"/>
      <c r="M17" s="22"/>
      <c r="N17" s="19"/>
      <c r="O17" s="19"/>
    </row>
    <row r="18" spans="1:15" ht="20.100000000000001" customHeight="1" x14ac:dyDescent="0.25">
      <c r="A18" s="37">
        <v>11</v>
      </c>
      <c r="B18" s="19" t="str">
        <f>Data!B14</f>
        <v>Keyla Runisya</v>
      </c>
      <c r="C18" s="19" t="str">
        <f>Data!C14</f>
        <v>Utsmaniyyah II</v>
      </c>
      <c r="D18" s="40"/>
      <c r="E18" s="39"/>
      <c r="F18" s="39"/>
      <c r="G18" s="39"/>
      <c r="H18" s="39"/>
      <c r="I18" s="39"/>
      <c r="J18" s="39"/>
      <c r="K18" s="39"/>
      <c r="L18" s="40"/>
      <c r="M18" s="22"/>
      <c r="N18" s="19"/>
      <c r="O18" s="19"/>
    </row>
    <row r="19" spans="1:15" ht="20.100000000000001" customHeight="1" x14ac:dyDescent="0.25">
      <c r="A19" s="37">
        <v>12</v>
      </c>
      <c r="B19" s="19" t="str">
        <f>Data!B15</f>
        <v>Kurnia Lestari</v>
      </c>
      <c r="C19" s="19" t="str">
        <f>Data!C15</f>
        <v>Utsmaniyyah II</v>
      </c>
      <c r="D19" s="40"/>
      <c r="E19" s="39"/>
      <c r="F19" s="39"/>
      <c r="G19" s="39"/>
      <c r="H19" s="39"/>
      <c r="I19" s="39"/>
      <c r="J19" s="39"/>
      <c r="K19" s="39"/>
      <c r="L19" s="39"/>
      <c r="M19" s="22"/>
      <c r="N19" s="19"/>
      <c r="O19" s="19"/>
    </row>
    <row r="20" spans="1:15" ht="20.100000000000001" customHeight="1" x14ac:dyDescent="0.25">
      <c r="A20" s="37">
        <v>13</v>
      </c>
      <c r="B20" s="19" t="str">
        <f>Data!B16</f>
        <v>Lutfia Hasanah</v>
      </c>
      <c r="C20" s="19" t="str">
        <f>Data!C16</f>
        <v>Utsmaniyyah II</v>
      </c>
      <c r="D20" s="40"/>
      <c r="E20" s="39"/>
      <c r="F20" s="39"/>
      <c r="G20" s="39"/>
      <c r="H20" s="39"/>
      <c r="I20" s="39"/>
      <c r="J20" s="39"/>
      <c r="K20" s="39"/>
      <c r="L20" s="40"/>
      <c r="M20" s="22"/>
      <c r="N20" s="19"/>
      <c r="O20" s="19"/>
    </row>
    <row r="21" spans="1:15" ht="20.100000000000001" customHeight="1" x14ac:dyDescent="0.25">
      <c r="A21" s="37">
        <v>14</v>
      </c>
      <c r="B21" s="19" t="str">
        <f>Data!B17</f>
        <v>M Adib Musthofa</v>
      </c>
      <c r="C21" s="19" t="str">
        <f>Data!C17</f>
        <v>Utsmaniyyah II</v>
      </c>
      <c r="D21" s="40"/>
      <c r="E21" s="39"/>
      <c r="F21" s="39"/>
      <c r="G21" s="39"/>
      <c r="H21" s="39"/>
      <c r="I21" s="39"/>
      <c r="J21" s="39"/>
      <c r="K21" s="39"/>
      <c r="L21" s="39"/>
      <c r="M21" s="22"/>
      <c r="N21" s="19"/>
      <c r="O21" s="19"/>
    </row>
    <row r="22" spans="1:15" ht="20.100000000000001" customHeight="1" x14ac:dyDescent="0.25">
      <c r="A22" s="37">
        <v>15</v>
      </c>
      <c r="B22" s="19" t="str">
        <f>Data!B18</f>
        <v>Maulana Maik Arrizki</v>
      </c>
      <c r="C22" s="19" t="str">
        <f>Data!C18</f>
        <v>Utsmaniyyah II</v>
      </c>
      <c r="D22" s="41"/>
      <c r="E22" s="41"/>
      <c r="F22" s="41"/>
      <c r="G22" s="41"/>
      <c r="H22" s="41"/>
      <c r="I22" s="41"/>
      <c r="J22" s="41"/>
      <c r="K22" s="41"/>
      <c r="L22" s="41"/>
      <c r="M22" s="42"/>
      <c r="N22" s="43"/>
      <c r="O22" s="46" t="s">
        <v>101</v>
      </c>
    </row>
    <row r="23" spans="1:15" ht="20.100000000000001" customHeight="1" x14ac:dyDescent="0.25">
      <c r="A23" s="37">
        <v>16</v>
      </c>
      <c r="B23" s="19" t="str">
        <f>Data!B19</f>
        <v>Muhammad Tri Anggara</v>
      </c>
      <c r="C23" s="19" t="str">
        <f>Data!C19</f>
        <v>Utsmaniyyah II</v>
      </c>
      <c r="D23" s="40"/>
      <c r="E23" s="39"/>
      <c r="F23" s="39"/>
      <c r="G23" s="39"/>
      <c r="H23" s="39"/>
      <c r="I23" s="39"/>
      <c r="J23" s="39"/>
      <c r="K23" s="39"/>
      <c r="L23" s="40"/>
      <c r="M23" s="22"/>
      <c r="N23" s="19"/>
      <c r="O23" s="19"/>
    </row>
    <row r="24" spans="1:15" ht="20.100000000000001" customHeight="1" x14ac:dyDescent="0.25">
      <c r="A24" s="37">
        <v>17</v>
      </c>
      <c r="B24" s="19" t="str">
        <f>Data!B20</f>
        <v>Mujamilatul Fikri</v>
      </c>
      <c r="C24" s="19" t="str">
        <f>Data!C20</f>
        <v>Utsmaniyyah II</v>
      </c>
      <c r="D24" s="40"/>
      <c r="E24" s="39"/>
      <c r="F24" s="39"/>
      <c r="G24" s="39"/>
      <c r="H24" s="39"/>
      <c r="I24" s="39"/>
      <c r="J24" s="39"/>
      <c r="K24" s="39"/>
      <c r="L24" s="39"/>
      <c r="M24" s="22"/>
      <c r="N24" s="19"/>
      <c r="O24" s="19"/>
    </row>
    <row r="25" spans="1:15" ht="20.100000000000001" customHeight="1" x14ac:dyDescent="0.25">
      <c r="A25" s="37">
        <v>18</v>
      </c>
      <c r="B25" s="19" t="str">
        <f>Data!B21</f>
        <v>Nayla Muthia Ismail</v>
      </c>
      <c r="C25" s="19" t="str">
        <f>Data!C21</f>
        <v>Utsmaniyyah II</v>
      </c>
      <c r="D25" s="40"/>
      <c r="E25" s="39"/>
      <c r="F25" s="39"/>
      <c r="G25" s="39"/>
      <c r="H25" s="39"/>
      <c r="I25" s="39"/>
      <c r="J25" s="39"/>
      <c r="K25" s="39"/>
      <c r="L25" s="40"/>
      <c r="M25" s="22"/>
      <c r="N25" s="19"/>
      <c r="O25" s="19"/>
    </row>
    <row r="26" spans="1:15" ht="20.100000000000001" customHeight="1" x14ac:dyDescent="0.25">
      <c r="A26" s="37">
        <v>19</v>
      </c>
      <c r="B26" s="19" t="str">
        <f>Data!B22</f>
        <v>Nur Halimah</v>
      </c>
      <c r="C26" s="19" t="str">
        <f>Data!C22</f>
        <v>Utsmaniyyah II</v>
      </c>
      <c r="D26" s="41"/>
      <c r="E26" s="41"/>
      <c r="F26" s="41"/>
      <c r="G26" s="41"/>
      <c r="H26" s="41"/>
      <c r="I26" s="41"/>
      <c r="J26" s="41"/>
      <c r="K26" s="41"/>
      <c r="L26" s="41"/>
      <c r="M26" s="42"/>
      <c r="N26" s="43"/>
      <c r="O26" s="46" t="s">
        <v>101</v>
      </c>
    </row>
    <row r="27" spans="1:15" ht="20.100000000000001" customHeight="1" x14ac:dyDescent="0.25">
      <c r="A27" s="37">
        <v>20</v>
      </c>
      <c r="B27" s="19" t="str">
        <f>Data!B23</f>
        <v>Nurul Hidayah</v>
      </c>
      <c r="C27" s="19" t="str">
        <f>Data!C23</f>
        <v>Utsmaniyyah II</v>
      </c>
      <c r="D27" s="41"/>
      <c r="E27" s="41"/>
      <c r="F27" s="41"/>
      <c r="G27" s="41"/>
      <c r="H27" s="41"/>
      <c r="I27" s="41"/>
      <c r="J27" s="41"/>
      <c r="K27" s="41"/>
      <c r="L27" s="41"/>
      <c r="M27" s="42"/>
      <c r="N27" s="43"/>
      <c r="O27" s="46" t="s">
        <v>101</v>
      </c>
    </row>
    <row r="28" spans="1:15" ht="20.100000000000001" customHeight="1" x14ac:dyDescent="0.25">
      <c r="A28" s="37">
        <v>21</v>
      </c>
      <c r="B28" s="19" t="str">
        <f>Data!B24</f>
        <v>Putri Nur Anisa Mei</v>
      </c>
      <c r="C28" s="19" t="str">
        <f>Data!C24</f>
        <v>Utsmaniyyah II</v>
      </c>
      <c r="D28" s="40"/>
      <c r="E28" s="39"/>
      <c r="F28" s="39"/>
      <c r="G28" s="39"/>
      <c r="H28" s="39"/>
      <c r="I28" s="39"/>
      <c r="J28" s="39"/>
      <c r="K28" s="39"/>
      <c r="L28" s="40"/>
      <c r="M28" s="22"/>
      <c r="N28" s="19"/>
      <c r="O28" s="19"/>
    </row>
    <row r="29" spans="1:15" ht="20.100000000000001" customHeight="1" x14ac:dyDescent="0.25">
      <c r="A29" s="37">
        <v>22</v>
      </c>
      <c r="B29" s="19" t="str">
        <f>Data!B25</f>
        <v>Ratna Mustofiah</v>
      </c>
      <c r="C29" s="19" t="str">
        <f>Data!C25</f>
        <v>Utsmaniyyah II</v>
      </c>
      <c r="D29" s="41"/>
      <c r="E29" s="41"/>
      <c r="F29" s="41"/>
      <c r="G29" s="41"/>
      <c r="H29" s="41"/>
      <c r="I29" s="41"/>
      <c r="J29" s="41"/>
      <c r="K29" s="41"/>
      <c r="L29" s="41"/>
      <c r="M29" s="42"/>
      <c r="N29" s="43"/>
      <c r="O29" s="46" t="s">
        <v>101</v>
      </c>
    </row>
    <row r="30" spans="1:15" ht="20.100000000000001" customHeight="1" x14ac:dyDescent="0.25">
      <c r="A30" s="158" t="s">
        <v>1</v>
      </c>
      <c r="B30" s="158" t="s">
        <v>2</v>
      </c>
      <c r="C30" s="158" t="s">
        <v>3</v>
      </c>
      <c r="D30" s="158" t="s">
        <v>52</v>
      </c>
      <c r="E30" s="158"/>
      <c r="F30" s="158"/>
      <c r="G30" s="158"/>
      <c r="H30" s="158"/>
      <c r="I30" s="158"/>
      <c r="J30" s="158"/>
      <c r="K30" s="158"/>
      <c r="L30" s="158"/>
      <c r="M30" s="158"/>
      <c r="N30" s="160" t="s">
        <v>7</v>
      </c>
      <c r="O30" s="158" t="s">
        <v>8</v>
      </c>
    </row>
    <row r="31" spans="1:15" ht="20.100000000000001" customHeight="1" x14ac:dyDescent="0.25">
      <c r="A31" s="158"/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8"/>
      <c r="N31" s="160"/>
      <c r="O31" s="158"/>
    </row>
    <row r="32" spans="1:15" ht="20.100000000000001" customHeight="1" x14ac:dyDescent="0.25">
      <c r="A32" s="158"/>
      <c r="B32" s="158"/>
      <c r="C32" s="158"/>
      <c r="D32" s="36">
        <v>1</v>
      </c>
      <c r="E32" s="36">
        <v>2</v>
      </c>
      <c r="F32" s="36">
        <v>3</v>
      </c>
      <c r="G32" s="36">
        <v>4</v>
      </c>
      <c r="H32" s="36">
        <v>5</v>
      </c>
      <c r="I32" s="36">
        <v>6</v>
      </c>
      <c r="J32" s="36">
        <v>7</v>
      </c>
      <c r="K32" s="36">
        <v>8</v>
      </c>
      <c r="L32" s="36">
        <v>9</v>
      </c>
      <c r="M32" s="36"/>
      <c r="N32" s="160"/>
      <c r="O32" s="158"/>
    </row>
    <row r="33" spans="1:15" ht="20.100000000000001" customHeight="1" x14ac:dyDescent="0.25">
      <c r="A33" s="20">
        <v>23</v>
      </c>
      <c r="B33" s="21" t="str">
        <f>Data!B26</f>
        <v>Rifatun Nabila</v>
      </c>
      <c r="C33" s="21" t="str">
        <f>Data!C26</f>
        <v>Utsmaniyyah II</v>
      </c>
      <c r="D33" s="40"/>
      <c r="E33" s="39"/>
      <c r="F33" s="39"/>
      <c r="G33" s="39"/>
      <c r="H33" s="39"/>
      <c r="I33" s="39"/>
      <c r="J33" s="40"/>
      <c r="K33" s="39"/>
      <c r="L33" s="39"/>
      <c r="M33" s="22"/>
      <c r="N33" s="21"/>
      <c r="O33" s="21"/>
    </row>
    <row r="34" spans="1:15" ht="20.100000000000001" customHeight="1" x14ac:dyDescent="0.25">
      <c r="A34" s="20">
        <v>24</v>
      </c>
      <c r="B34" s="21" t="str">
        <f>Data!B27</f>
        <v>Rita Yulianti</v>
      </c>
      <c r="C34" s="21" t="str">
        <f>Data!C27</f>
        <v>Utsmaniyyah II</v>
      </c>
      <c r="D34" s="39"/>
      <c r="E34" s="39"/>
      <c r="F34" s="39"/>
      <c r="G34" s="39"/>
      <c r="H34" s="39"/>
      <c r="I34" s="39"/>
      <c r="J34" s="39"/>
      <c r="K34" s="39"/>
      <c r="L34" s="40"/>
      <c r="M34" s="20"/>
      <c r="N34" s="21"/>
      <c r="O34" s="21"/>
    </row>
    <row r="35" spans="1:15" ht="20.100000000000001" customHeight="1" x14ac:dyDescent="0.25">
      <c r="A35" s="20">
        <v>25</v>
      </c>
      <c r="B35" s="21" t="str">
        <f>Data!B28</f>
        <v>Samsul Anwar</v>
      </c>
      <c r="C35" s="21" t="str">
        <f>Data!C28</f>
        <v>Utsmaniyyah II</v>
      </c>
      <c r="D35" s="39"/>
      <c r="E35" s="39"/>
      <c r="F35" s="39"/>
      <c r="G35" s="39"/>
      <c r="H35" s="39"/>
      <c r="I35" s="39"/>
      <c r="J35" s="39"/>
      <c r="K35" s="39"/>
      <c r="L35" s="40"/>
      <c r="M35" s="20"/>
      <c r="N35" s="21"/>
      <c r="O35" s="21"/>
    </row>
    <row r="36" spans="1:15" ht="20.100000000000001" customHeight="1" x14ac:dyDescent="0.25">
      <c r="A36" s="20">
        <v>26</v>
      </c>
      <c r="B36" s="21" t="str">
        <f>Data!B29</f>
        <v>Siti Fatma Wati</v>
      </c>
      <c r="C36" s="21" t="str">
        <f>Data!C29</f>
        <v>Utsmaniyyah II</v>
      </c>
      <c r="D36" s="40"/>
      <c r="E36" s="39"/>
      <c r="F36" s="39"/>
      <c r="G36" s="39"/>
      <c r="H36" s="39"/>
      <c r="I36" s="39"/>
      <c r="J36" s="39"/>
      <c r="K36" s="39"/>
      <c r="L36" s="40"/>
      <c r="M36" s="20"/>
      <c r="N36" s="21"/>
      <c r="O36" s="21"/>
    </row>
    <row r="37" spans="1:15" ht="20.100000000000001" customHeight="1" x14ac:dyDescent="0.25">
      <c r="A37" s="20">
        <v>27</v>
      </c>
      <c r="B37" s="21" t="str">
        <f>Data!B30</f>
        <v>Siti Munawaroh</v>
      </c>
      <c r="C37" s="21" t="str">
        <f>Data!C30</f>
        <v>Utsmaniyyah II</v>
      </c>
      <c r="D37" s="40"/>
      <c r="E37" s="39"/>
      <c r="F37" s="39"/>
      <c r="G37" s="39"/>
      <c r="H37" s="39"/>
      <c r="I37" s="39"/>
      <c r="J37" s="39"/>
      <c r="K37" s="39"/>
      <c r="L37" s="40"/>
      <c r="M37" s="23"/>
      <c r="N37" s="21"/>
      <c r="O37" s="21"/>
    </row>
    <row r="38" spans="1:15" ht="20.100000000000001" customHeight="1" x14ac:dyDescent="0.25">
      <c r="A38" s="20">
        <v>28</v>
      </c>
      <c r="B38" s="21" t="str">
        <f>Data!B31</f>
        <v>Siti Nur Jannah</v>
      </c>
      <c r="C38" s="21" t="str">
        <f>Data!C31</f>
        <v>Utsmaniyyah II</v>
      </c>
      <c r="D38" s="41"/>
      <c r="E38" s="41"/>
      <c r="F38" s="41"/>
      <c r="G38" s="41"/>
      <c r="H38" s="41"/>
      <c r="I38" s="41"/>
      <c r="J38" s="41"/>
      <c r="K38" s="41"/>
      <c r="L38" s="41"/>
      <c r="M38" s="44"/>
      <c r="N38" s="45"/>
      <c r="O38" s="46" t="s">
        <v>101</v>
      </c>
    </row>
    <row r="39" spans="1:15" ht="20.100000000000001" customHeight="1" x14ac:dyDescent="0.25">
      <c r="A39" s="20">
        <v>29</v>
      </c>
      <c r="B39" s="21" t="str">
        <f>Data!B32</f>
        <v>Umi Kulsum Ambar Wati</v>
      </c>
      <c r="C39" s="21" t="str">
        <f>Data!C32</f>
        <v>Utsmaniyyah II</v>
      </c>
      <c r="D39" s="41"/>
      <c r="E39" s="41"/>
      <c r="F39" s="41"/>
      <c r="G39" s="41"/>
      <c r="H39" s="41"/>
      <c r="I39" s="41"/>
      <c r="J39" s="41"/>
      <c r="K39" s="41"/>
      <c r="L39" s="41"/>
      <c r="M39" s="44"/>
      <c r="N39" s="45"/>
      <c r="O39" s="46" t="s">
        <v>101</v>
      </c>
    </row>
    <row r="40" spans="1:15" ht="20.100000000000001" customHeight="1" x14ac:dyDescent="0.25">
      <c r="A40" s="20">
        <v>30</v>
      </c>
      <c r="B40" s="21" t="str">
        <f>Data!B33</f>
        <v>Wahyu Indra Pratama</v>
      </c>
      <c r="C40" s="21" t="str">
        <f>Data!C33</f>
        <v>Utsmaniyyah II</v>
      </c>
      <c r="D40" s="40"/>
      <c r="E40" s="39"/>
      <c r="F40" s="39"/>
      <c r="G40" s="39"/>
      <c r="H40" s="39"/>
      <c r="I40" s="39"/>
      <c r="J40" s="39"/>
      <c r="K40" s="39"/>
      <c r="L40" s="40"/>
      <c r="M40" s="20"/>
      <c r="N40" s="21"/>
      <c r="O40" s="21"/>
    </row>
    <row r="41" spans="1:15" ht="20.100000000000001" customHeight="1" x14ac:dyDescent="0.25">
      <c r="A41" s="20">
        <v>31</v>
      </c>
      <c r="B41" s="21" t="str">
        <f>Data!B34</f>
        <v>Wulan Suci Ramadhani</v>
      </c>
      <c r="C41" s="21" t="str">
        <f>Data!C34</f>
        <v>Utsmaniyyah II</v>
      </c>
      <c r="D41" s="40"/>
      <c r="E41" s="39"/>
      <c r="F41" s="39"/>
      <c r="G41" s="39"/>
      <c r="H41" s="39"/>
      <c r="I41" s="39"/>
      <c r="J41" s="39"/>
      <c r="K41" s="39"/>
      <c r="L41" s="40"/>
      <c r="M41" s="20"/>
      <c r="N41" s="21"/>
      <c r="O41" s="21"/>
    </row>
    <row r="42" spans="1:15" ht="20.100000000000001" customHeight="1" x14ac:dyDescent="0.25">
      <c r="D42" s="16">
        <v>60</v>
      </c>
      <c r="E42" s="16">
        <v>65</v>
      </c>
      <c r="F42" s="16">
        <v>65</v>
      </c>
      <c r="G42" s="16">
        <v>65</v>
      </c>
      <c r="H42" s="16">
        <v>60</v>
      </c>
      <c r="I42" s="16">
        <v>60</v>
      </c>
      <c r="J42" s="16">
        <v>65</v>
      </c>
      <c r="K42" s="16">
        <v>65</v>
      </c>
      <c r="L42" s="16">
        <v>65</v>
      </c>
    </row>
    <row r="43" spans="1:15" ht="20.100000000000001" customHeight="1" x14ac:dyDescent="0.25">
      <c r="A43" s="16">
        <v>1</v>
      </c>
      <c r="B43" s="16" t="s">
        <v>55</v>
      </c>
      <c r="C43" s="16">
        <v>6</v>
      </c>
      <c r="D43" s="16" t="s">
        <v>60</v>
      </c>
      <c r="K43" s="15" t="str">
        <f>Data!G1</f>
        <v>Tambak Jaya,             Maret 2018</v>
      </c>
    </row>
    <row r="44" spans="1:15" ht="20.100000000000001" customHeight="1" x14ac:dyDescent="0.25">
      <c r="A44" s="16">
        <v>2</v>
      </c>
      <c r="B44" s="16" t="s">
        <v>56</v>
      </c>
      <c r="C44" s="16">
        <v>7</v>
      </c>
      <c r="D44" s="16" t="s">
        <v>61</v>
      </c>
      <c r="K44" s="16" t="s">
        <v>53</v>
      </c>
    </row>
    <row r="45" spans="1:15" ht="20.100000000000001" customHeight="1" x14ac:dyDescent="0.25">
      <c r="A45" s="16">
        <v>3</v>
      </c>
      <c r="B45" s="16" t="s">
        <v>57</v>
      </c>
      <c r="C45" s="16">
        <v>8</v>
      </c>
      <c r="D45" s="16" t="s">
        <v>62</v>
      </c>
      <c r="K45" s="16"/>
    </row>
    <row r="46" spans="1:15" ht="20.100000000000001" customHeight="1" x14ac:dyDescent="0.25">
      <c r="A46" s="16">
        <v>4</v>
      </c>
      <c r="B46" s="16" t="s">
        <v>58</v>
      </c>
      <c r="C46" s="16">
        <v>9</v>
      </c>
      <c r="D46" s="16" t="s">
        <v>63</v>
      </c>
      <c r="K46" s="17" t="s">
        <v>96</v>
      </c>
    </row>
    <row r="47" spans="1:15" ht="20.100000000000001" customHeight="1" x14ac:dyDescent="0.25">
      <c r="A47" s="16">
        <v>5</v>
      </c>
      <c r="B47" s="16" t="s">
        <v>59</v>
      </c>
      <c r="C47" s="16"/>
      <c r="D47" s="16"/>
    </row>
  </sheetData>
  <mergeCells count="16">
    <mergeCell ref="O30:O32"/>
    <mergeCell ref="D31:M31"/>
    <mergeCell ref="A1:O1"/>
    <mergeCell ref="A2:O2"/>
    <mergeCell ref="A5:A7"/>
    <mergeCell ref="B5:B7"/>
    <mergeCell ref="C5:C7"/>
    <mergeCell ref="D5:M5"/>
    <mergeCell ref="N5:N7"/>
    <mergeCell ref="O5:O7"/>
    <mergeCell ref="D6:M6"/>
    <mergeCell ref="A30:A32"/>
    <mergeCell ref="B30:B32"/>
    <mergeCell ref="C30:C32"/>
    <mergeCell ref="D30:M30"/>
    <mergeCell ref="N30:N32"/>
  </mergeCells>
  <pageMargins left="0.70866141732283472" right="0.70866141732283472" top="0.74803149606299213" bottom="0.74803149606299213" header="0.31496062992125984" footer="0.31496062992125984"/>
  <pageSetup paperSize="9" scale="85" orientation="landscape" horizontalDpi="4294967293" verticalDpi="0" r:id="rId1"/>
  <rowBreaks count="1" manualBreakCount="1">
    <brk id="29" max="14" man="1"/>
  </row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47"/>
  <sheetViews>
    <sheetView view="pageBreakPreview" topLeftCell="A8" zoomScale="75" zoomScaleSheetLayoutView="75" workbookViewId="0">
      <selection activeCell="R27" sqref="R27"/>
    </sheetView>
  </sheetViews>
  <sheetFormatPr defaultRowHeight="20.100000000000001" customHeight="1" x14ac:dyDescent="0.25"/>
  <cols>
    <col min="1" max="1" width="4.7109375" style="15" customWidth="1"/>
    <col min="2" max="2" width="23.140625" style="15" customWidth="1"/>
    <col min="3" max="3" width="14.85546875" style="15" customWidth="1"/>
    <col min="4" max="13" width="7.7109375" style="15" customWidth="1"/>
    <col min="14" max="14" width="9.140625" style="15"/>
    <col min="15" max="15" width="12.140625" style="15" customWidth="1"/>
    <col min="16" max="16384" width="9.140625" style="15"/>
  </cols>
  <sheetData>
    <row r="1" spans="1:15" ht="20.100000000000001" customHeight="1" x14ac:dyDescent="0.25">
      <c r="A1" s="159" t="s">
        <v>0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</row>
    <row r="2" spans="1:15" ht="20.100000000000001" customHeight="1" x14ac:dyDescent="0.25">
      <c r="A2" s="159" t="s">
        <v>12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</row>
    <row r="3" spans="1:15" ht="20.100000000000001" customHeight="1" x14ac:dyDescent="0.25">
      <c r="A3" s="16"/>
      <c r="B3" s="16"/>
      <c r="C3" s="17"/>
      <c r="D3" s="17"/>
      <c r="E3" s="17"/>
      <c r="F3" s="17"/>
      <c r="G3" s="17"/>
      <c r="H3" s="17"/>
      <c r="I3" s="17"/>
      <c r="J3" s="17"/>
      <c r="K3" s="17"/>
      <c r="L3" s="18"/>
      <c r="M3" s="16"/>
      <c r="N3" s="16"/>
      <c r="O3" s="17"/>
    </row>
    <row r="4" spans="1:15" ht="20.100000000000001" customHeight="1" x14ac:dyDescent="0.2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5" ht="20.100000000000001" customHeight="1" x14ac:dyDescent="0.25">
      <c r="A5" s="158" t="s">
        <v>1</v>
      </c>
      <c r="B5" s="158" t="s">
        <v>2</v>
      </c>
      <c r="C5" s="158" t="s">
        <v>3</v>
      </c>
      <c r="D5" s="158" t="s">
        <v>52</v>
      </c>
      <c r="E5" s="158"/>
      <c r="F5" s="158"/>
      <c r="G5" s="158"/>
      <c r="H5" s="158"/>
      <c r="I5" s="158"/>
      <c r="J5" s="158"/>
      <c r="K5" s="158"/>
      <c r="L5" s="158"/>
      <c r="M5" s="158"/>
      <c r="N5" s="160" t="s">
        <v>7</v>
      </c>
      <c r="O5" s="158" t="s">
        <v>8</v>
      </c>
    </row>
    <row r="6" spans="1:15" ht="20.100000000000001" customHeight="1" x14ac:dyDescent="0.25">
      <c r="A6" s="158"/>
      <c r="B6" s="158"/>
      <c r="C6" s="158"/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60"/>
      <c r="O6" s="158"/>
    </row>
    <row r="7" spans="1:15" ht="20.100000000000001" customHeight="1" x14ac:dyDescent="0.25">
      <c r="A7" s="158"/>
      <c r="B7" s="158"/>
      <c r="C7" s="158"/>
      <c r="D7" s="36">
        <v>1</v>
      </c>
      <c r="E7" s="36">
        <v>2</v>
      </c>
      <c r="F7" s="36">
        <v>3</v>
      </c>
      <c r="G7" s="36">
        <v>4</v>
      </c>
      <c r="H7" s="36">
        <v>5</v>
      </c>
      <c r="I7" s="36">
        <v>6</v>
      </c>
      <c r="J7" s="36">
        <v>7</v>
      </c>
      <c r="K7" s="36">
        <v>8</v>
      </c>
      <c r="L7" s="36">
        <v>9</v>
      </c>
      <c r="M7" s="36"/>
      <c r="N7" s="160"/>
      <c r="O7" s="158"/>
    </row>
    <row r="8" spans="1:15" ht="20.100000000000001" customHeight="1" x14ac:dyDescent="0.25">
      <c r="A8" s="37">
        <v>1</v>
      </c>
      <c r="B8" s="19" t="str">
        <f>Data!B4</f>
        <v>Ahmad Ma'ruf</v>
      </c>
      <c r="C8" s="19" t="str">
        <f>Data!C4</f>
        <v>Utsmaniyyah II</v>
      </c>
      <c r="D8" s="40">
        <f>'Tartil dan Fashohah'!L8</f>
        <v>0</v>
      </c>
      <c r="E8" s="39">
        <v>9.5</v>
      </c>
      <c r="F8" s="39">
        <v>7</v>
      </c>
      <c r="G8" s="40">
        <v>5</v>
      </c>
      <c r="H8" s="39">
        <v>7.5</v>
      </c>
      <c r="I8" s="39">
        <v>7.5</v>
      </c>
      <c r="J8" s="39">
        <v>7</v>
      </c>
      <c r="K8" s="39">
        <v>8</v>
      </c>
      <c r="L8" s="40">
        <v>5</v>
      </c>
      <c r="M8" s="22"/>
      <c r="N8" s="19">
        <f>SUM(D8:M8)</f>
        <v>56.5</v>
      </c>
      <c r="O8" s="19"/>
    </row>
    <row r="9" spans="1:15" ht="20.100000000000001" customHeight="1" x14ac:dyDescent="0.25">
      <c r="A9" s="37">
        <v>2</v>
      </c>
      <c r="B9" s="19" t="str">
        <f>Data!B5</f>
        <v>Ahmad Nidlomi</v>
      </c>
      <c r="C9" s="19" t="str">
        <f>Data!C5</f>
        <v>Utsmaniyyah II</v>
      </c>
      <c r="D9" s="40">
        <f>'Tartil dan Fashohah'!L9</f>
        <v>0</v>
      </c>
      <c r="E9" s="39">
        <v>10</v>
      </c>
      <c r="F9" s="39">
        <v>7</v>
      </c>
      <c r="G9" s="39">
        <v>7</v>
      </c>
      <c r="H9" s="39">
        <v>9.5</v>
      </c>
      <c r="I9" s="39">
        <v>8.5</v>
      </c>
      <c r="J9" s="39">
        <v>9</v>
      </c>
      <c r="K9" s="39">
        <v>9</v>
      </c>
      <c r="L9" s="39">
        <v>7</v>
      </c>
      <c r="M9" s="22"/>
      <c r="N9" s="19">
        <f t="shared" ref="N9:N29" si="0">SUM(D9:M9)</f>
        <v>67</v>
      </c>
      <c r="O9" s="19"/>
    </row>
    <row r="10" spans="1:15" ht="20.100000000000001" customHeight="1" x14ac:dyDescent="0.25">
      <c r="A10" s="37">
        <v>3</v>
      </c>
      <c r="B10" s="19" t="str">
        <f>Data!B6</f>
        <v>A'ti Lailatin Na'im</v>
      </c>
      <c r="C10" s="19" t="str">
        <f>Data!C6</f>
        <v>Utsmaniyyah II</v>
      </c>
      <c r="D10" s="40">
        <f>'Tartil dan Fashohah'!L10</f>
        <v>0</v>
      </c>
      <c r="E10" s="39">
        <v>10</v>
      </c>
      <c r="F10" s="39">
        <v>9</v>
      </c>
      <c r="G10" s="39">
        <v>9</v>
      </c>
      <c r="H10" s="40">
        <v>5.5</v>
      </c>
      <c r="I10" s="39">
        <v>6.5</v>
      </c>
      <c r="J10" s="39">
        <v>7</v>
      </c>
      <c r="K10" s="39">
        <v>8</v>
      </c>
      <c r="L10" s="40">
        <v>5</v>
      </c>
      <c r="M10" s="22"/>
      <c r="N10" s="19">
        <f t="shared" si="0"/>
        <v>60</v>
      </c>
      <c r="O10" s="19"/>
    </row>
    <row r="11" spans="1:15" ht="20.100000000000001" customHeight="1" x14ac:dyDescent="0.25">
      <c r="A11" s="37">
        <v>4</v>
      </c>
      <c r="B11" s="19" t="str">
        <f>Data!B7</f>
        <v>Aulia Zahra</v>
      </c>
      <c r="C11" s="19" t="str">
        <f>Data!C7</f>
        <v>Utsmaniyyah II</v>
      </c>
      <c r="D11" s="40">
        <f>'Tartil dan Fashohah'!L11</f>
        <v>0</v>
      </c>
      <c r="E11" s="39">
        <v>9.5</v>
      </c>
      <c r="F11" s="39">
        <v>9</v>
      </c>
      <c r="G11" s="39">
        <v>8</v>
      </c>
      <c r="H11" s="39">
        <v>7.5</v>
      </c>
      <c r="I11" s="39">
        <v>8</v>
      </c>
      <c r="J11" s="39">
        <v>8</v>
      </c>
      <c r="K11" s="39">
        <v>9</v>
      </c>
      <c r="L11" s="39">
        <v>7</v>
      </c>
      <c r="M11" s="22"/>
      <c r="N11" s="19">
        <f t="shared" si="0"/>
        <v>66</v>
      </c>
      <c r="O11" s="19"/>
    </row>
    <row r="12" spans="1:15" ht="20.100000000000001" customHeight="1" x14ac:dyDescent="0.25">
      <c r="A12" s="37">
        <v>5</v>
      </c>
      <c r="B12" s="19" t="str">
        <f>Data!B8</f>
        <v>Aura Berliana Matin</v>
      </c>
      <c r="C12" s="19" t="str">
        <f>Data!C8</f>
        <v>Utsmaniyyah II</v>
      </c>
      <c r="D12" s="40">
        <f>'Tartil dan Fashohah'!L12</f>
        <v>0</v>
      </c>
      <c r="E12" s="39">
        <v>9.5</v>
      </c>
      <c r="F12" s="39">
        <v>9</v>
      </c>
      <c r="G12" s="40">
        <v>6</v>
      </c>
      <c r="H12" s="39">
        <v>7.5</v>
      </c>
      <c r="I12" s="39">
        <v>7</v>
      </c>
      <c r="J12" s="39">
        <v>8</v>
      </c>
      <c r="K12" s="39">
        <v>9.5</v>
      </c>
      <c r="L12" s="39">
        <v>8</v>
      </c>
      <c r="M12" s="22"/>
      <c r="N12" s="19">
        <f t="shared" si="0"/>
        <v>64.5</v>
      </c>
      <c r="O12" s="19"/>
    </row>
    <row r="13" spans="1:15" ht="20.100000000000001" customHeight="1" x14ac:dyDescent="0.25">
      <c r="A13" s="37">
        <v>6</v>
      </c>
      <c r="B13" s="19" t="str">
        <f>Data!B9</f>
        <v>Evi Nurmala Sari</v>
      </c>
      <c r="C13" s="19" t="str">
        <f>Data!C9</f>
        <v>Utsmaniyyah II</v>
      </c>
      <c r="D13" s="40">
        <f>'Tartil dan Fashohah'!L13</f>
        <v>0</v>
      </c>
      <c r="E13" s="39">
        <v>9.5</v>
      </c>
      <c r="F13" s="39">
        <v>8</v>
      </c>
      <c r="G13" s="39">
        <v>8</v>
      </c>
      <c r="H13" s="39">
        <v>8.5</v>
      </c>
      <c r="I13" s="39">
        <v>7</v>
      </c>
      <c r="J13" s="39">
        <v>9</v>
      </c>
      <c r="K13" s="39">
        <v>8</v>
      </c>
      <c r="L13" s="39">
        <v>7</v>
      </c>
      <c r="M13" s="22"/>
      <c r="N13" s="19">
        <f t="shared" si="0"/>
        <v>65</v>
      </c>
      <c r="O13" s="19"/>
    </row>
    <row r="14" spans="1:15" ht="20.100000000000001" customHeight="1" x14ac:dyDescent="0.25">
      <c r="A14" s="37">
        <v>7</v>
      </c>
      <c r="B14" s="19" t="str">
        <f>Data!B10</f>
        <v>Halimah Sa'diyah</v>
      </c>
      <c r="C14" s="19" t="str">
        <f>Data!C10</f>
        <v>Utsmaniyyah II</v>
      </c>
      <c r="D14" s="40">
        <f>'Tartil dan Fashohah'!L14</f>
        <v>0</v>
      </c>
      <c r="E14" s="39">
        <v>9.5</v>
      </c>
      <c r="F14" s="39">
        <v>8</v>
      </c>
      <c r="G14" s="39">
        <v>8</v>
      </c>
      <c r="H14" s="39">
        <v>6</v>
      </c>
      <c r="I14" s="39">
        <v>7</v>
      </c>
      <c r="J14" s="39">
        <v>9</v>
      </c>
      <c r="K14" s="40">
        <v>5</v>
      </c>
      <c r="L14" s="40">
        <v>5</v>
      </c>
      <c r="M14" s="22"/>
      <c r="N14" s="19">
        <f t="shared" si="0"/>
        <v>57.5</v>
      </c>
      <c r="O14" s="19"/>
    </row>
    <row r="15" spans="1:15" ht="20.100000000000001" customHeight="1" x14ac:dyDescent="0.25">
      <c r="A15" s="37">
        <v>8</v>
      </c>
      <c r="B15" s="19" t="str">
        <f>Data!B11</f>
        <v>Halimah Sya'diah</v>
      </c>
      <c r="C15" s="19" t="str">
        <f>Data!C11</f>
        <v>Utsmaniyyah II</v>
      </c>
      <c r="D15" s="40">
        <f>'Tartil dan Fashohah'!L15</f>
        <v>0</v>
      </c>
      <c r="E15" s="39">
        <v>10</v>
      </c>
      <c r="F15" s="39">
        <v>10</v>
      </c>
      <c r="G15" s="39">
        <v>9</v>
      </c>
      <c r="H15" s="39">
        <v>8.5</v>
      </c>
      <c r="I15" s="39">
        <v>8</v>
      </c>
      <c r="J15" s="39">
        <v>8</v>
      </c>
      <c r="K15" s="39">
        <v>8</v>
      </c>
      <c r="L15" s="39">
        <v>6.5</v>
      </c>
      <c r="M15" s="22"/>
      <c r="N15" s="19">
        <f t="shared" si="0"/>
        <v>68</v>
      </c>
      <c r="O15" s="19"/>
    </row>
    <row r="16" spans="1:15" ht="20.100000000000001" customHeight="1" x14ac:dyDescent="0.25">
      <c r="A16" s="37">
        <v>9</v>
      </c>
      <c r="B16" s="19" t="str">
        <f>Data!B12</f>
        <v>Heru Setiawan</v>
      </c>
      <c r="C16" s="19" t="str">
        <f>Data!C12</f>
        <v>Utsmaniyyah II</v>
      </c>
      <c r="D16" s="39">
        <f>'Tartil dan Fashohah'!L16</f>
        <v>0</v>
      </c>
      <c r="E16" s="39">
        <v>8.5</v>
      </c>
      <c r="F16" s="39">
        <v>8</v>
      </c>
      <c r="G16" s="39">
        <v>10</v>
      </c>
      <c r="H16" s="39">
        <v>10</v>
      </c>
      <c r="I16" s="39">
        <v>8.5</v>
      </c>
      <c r="J16" s="39">
        <v>8</v>
      </c>
      <c r="K16" s="39">
        <v>9.5</v>
      </c>
      <c r="L16" s="40">
        <v>5</v>
      </c>
      <c r="M16" s="22"/>
      <c r="N16" s="19">
        <f t="shared" si="0"/>
        <v>67.5</v>
      </c>
      <c r="O16" s="19"/>
    </row>
    <row r="17" spans="1:15" ht="20.100000000000001" customHeight="1" x14ac:dyDescent="0.25">
      <c r="A17" s="37">
        <v>10</v>
      </c>
      <c r="B17" s="19" t="str">
        <f>Data!B13</f>
        <v>Iis Qomariyah</v>
      </c>
      <c r="C17" s="19" t="str">
        <f>Data!C13</f>
        <v>Utsmaniyyah II</v>
      </c>
      <c r="D17" s="40">
        <f>'Tartil dan Fashohah'!L17</f>
        <v>0</v>
      </c>
      <c r="E17" s="39">
        <v>9</v>
      </c>
      <c r="F17" s="39">
        <v>9</v>
      </c>
      <c r="G17" s="39">
        <v>8</v>
      </c>
      <c r="H17" s="39">
        <v>6.5</v>
      </c>
      <c r="I17" s="39">
        <v>7.5</v>
      </c>
      <c r="J17" s="39">
        <v>8</v>
      </c>
      <c r="K17" s="39">
        <v>9</v>
      </c>
      <c r="L17" s="39">
        <v>6.5</v>
      </c>
      <c r="M17" s="22"/>
      <c r="N17" s="19">
        <f t="shared" si="0"/>
        <v>63.5</v>
      </c>
      <c r="O17" s="19"/>
    </row>
    <row r="18" spans="1:15" ht="20.100000000000001" customHeight="1" x14ac:dyDescent="0.25">
      <c r="A18" s="37">
        <v>11</v>
      </c>
      <c r="B18" s="19" t="str">
        <f>Data!B14</f>
        <v>Keyla Runisya</v>
      </c>
      <c r="C18" s="19" t="str">
        <f>Data!C14</f>
        <v>Utsmaniyyah II</v>
      </c>
      <c r="D18" s="40">
        <f>'Tartil dan Fashohah'!L18</f>
        <v>0</v>
      </c>
      <c r="E18" s="39">
        <v>9.5</v>
      </c>
      <c r="F18" s="39">
        <v>9</v>
      </c>
      <c r="G18" s="39">
        <v>9</v>
      </c>
      <c r="H18" s="39">
        <v>6</v>
      </c>
      <c r="I18" s="39">
        <v>7.5</v>
      </c>
      <c r="J18" s="39">
        <v>8</v>
      </c>
      <c r="K18" s="39">
        <v>8</v>
      </c>
      <c r="L18" s="40">
        <v>5</v>
      </c>
      <c r="M18" s="22"/>
      <c r="N18" s="19">
        <f t="shared" si="0"/>
        <v>62</v>
      </c>
      <c r="O18" s="19"/>
    </row>
    <row r="19" spans="1:15" ht="20.100000000000001" customHeight="1" x14ac:dyDescent="0.25">
      <c r="A19" s="37">
        <v>12</v>
      </c>
      <c r="B19" s="19" t="str">
        <f>Data!B15</f>
        <v>Kurnia Lestari</v>
      </c>
      <c r="C19" s="19" t="str">
        <f>Data!C15</f>
        <v>Utsmaniyyah II</v>
      </c>
      <c r="D19" s="40">
        <f>'Tartil dan Fashohah'!L19</f>
        <v>0</v>
      </c>
      <c r="E19" s="39">
        <v>8</v>
      </c>
      <c r="F19" s="39">
        <v>9</v>
      </c>
      <c r="G19" s="39">
        <v>7</v>
      </c>
      <c r="H19" s="39">
        <v>8</v>
      </c>
      <c r="I19" s="39">
        <v>8</v>
      </c>
      <c r="J19" s="39">
        <v>9</v>
      </c>
      <c r="K19" s="39">
        <v>8</v>
      </c>
      <c r="L19" s="39">
        <v>7</v>
      </c>
      <c r="M19" s="22"/>
      <c r="N19" s="19">
        <f t="shared" si="0"/>
        <v>64</v>
      </c>
      <c r="O19" s="19"/>
    </row>
    <row r="20" spans="1:15" ht="20.100000000000001" customHeight="1" x14ac:dyDescent="0.25">
      <c r="A20" s="37">
        <v>13</v>
      </c>
      <c r="B20" s="19" t="str">
        <f>Data!B16</f>
        <v>Lutfia Hasanah</v>
      </c>
      <c r="C20" s="19" t="str">
        <f>Data!C16</f>
        <v>Utsmaniyyah II</v>
      </c>
      <c r="D20" s="40">
        <f>'Tartil dan Fashohah'!L20</f>
        <v>0</v>
      </c>
      <c r="E20" s="39">
        <v>8.5</v>
      </c>
      <c r="F20" s="39">
        <v>10</v>
      </c>
      <c r="G20" s="39">
        <v>9</v>
      </c>
      <c r="H20" s="39">
        <v>7</v>
      </c>
      <c r="I20" s="39">
        <v>7.5</v>
      </c>
      <c r="J20" s="39">
        <v>7</v>
      </c>
      <c r="K20" s="39">
        <v>7.5</v>
      </c>
      <c r="L20" s="40">
        <v>5</v>
      </c>
      <c r="M20" s="22"/>
      <c r="N20" s="19">
        <f t="shared" si="0"/>
        <v>61.5</v>
      </c>
      <c r="O20" s="19"/>
    </row>
    <row r="21" spans="1:15" ht="20.100000000000001" customHeight="1" x14ac:dyDescent="0.25">
      <c r="A21" s="37">
        <v>14</v>
      </c>
      <c r="B21" s="19" t="str">
        <f>Data!B17</f>
        <v>M Adib Musthofa</v>
      </c>
      <c r="C21" s="19" t="str">
        <f>Data!C17</f>
        <v>Utsmaniyyah II</v>
      </c>
      <c r="D21" s="40">
        <f>'Tartil dan Fashohah'!L21</f>
        <v>0</v>
      </c>
      <c r="E21" s="39">
        <v>9.5</v>
      </c>
      <c r="F21" s="39">
        <v>9</v>
      </c>
      <c r="G21" s="39">
        <v>9</v>
      </c>
      <c r="H21" s="39">
        <v>8.5</v>
      </c>
      <c r="I21" s="39">
        <v>9</v>
      </c>
      <c r="J21" s="39">
        <v>7</v>
      </c>
      <c r="K21" s="39">
        <v>8.5</v>
      </c>
      <c r="L21" s="39">
        <v>6.5</v>
      </c>
      <c r="M21" s="22"/>
      <c r="N21" s="19">
        <f t="shared" si="0"/>
        <v>67</v>
      </c>
      <c r="O21" s="19"/>
    </row>
    <row r="22" spans="1:15" ht="20.100000000000001" customHeight="1" x14ac:dyDescent="0.25">
      <c r="A22" s="37">
        <v>15</v>
      </c>
      <c r="B22" s="19" t="str">
        <f>Data!B18</f>
        <v>Maulana Maik Arrizki</v>
      </c>
      <c r="C22" s="19" t="str">
        <f>Data!C18</f>
        <v>Utsmaniyyah II</v>
      </c>
      <c r="D22" s="41">
        <f>'Tartil dan Fashohah'!L22</f>
        <v>0</v>
      </c>
      <c r="E22" s="41">
        <v>9.5</v>
      </c>
      <c r="F22" s="41">
        <v>9</v>
      </c>
      <c r="G22" s="41">
        <v>10</v>
      </c>
      <c r="H22" s="41">
        <v>8</v>
      </c>
      <c r="I22" s="41">
        <v>9</v>
      </c>
      <c r="J22" s="41">
        <v>7</v>
      </c>
      <c r="K22" s="41">
        <v>8</v>
      </c>
      <c r="L22" s="41">
        <v>7</v>
      </c>
      <c r="M22" s="42"/>
      <c r="N22" s="43">
        <f t="shared" si="0"/>
        <v>67.5</v>
      </c>
      <c r="O22" s="43"/>
    </row>
    <row r="23" spans="1:15" ht="20.100000000000001" customHeight="1" x14ac:dyDescent="0.25">
      <c r="A23" s="37">
        <v>16</v>
      </c>
      <c r="B23" s="19" t="str">
        <f>Data!B19</f>
        <v>Muhammad Tri Anggara</v>
      </c>
      <c r="C23" s="19" t="str">
        <f>Data!C19</f>
        <v>Utsmaniyyah II</v>
      </c>
      <c r="D23" s="40">
        <f>'Tartil dan Fashohah'!L23</f>
        <v>0</v>
      </c>
      <c r="E23" s="39">
        <v>7.5</v>
      </c>
      <c r="F23" s="39">
        <v>8</v>
      </c>
      <c r="G23" s="39">
        <v>6</v>
      </c>
      <c r="H23" s="39">
        <v>9</v>
      </c>
      <c r="I23" s="39">
        <v>7.5</v>
      </c>
      <c r="J23" s="39">
        <v>8</v>
      </c>
      <c r="K23" s="39">
        <v>7</v>
      </c>
      <c r="L23" s="40">
        <v>5</v>
      </c>
      <c r="M23" s="22"/>
      <c r="N23" s="19">
        <f t="shared" si="0"/>
        <v>58</v>
      </c>
      <c r="O23" s="19"/>
    </row>
    <row r="24" spans="1:15" ht="20.100000000000001" customHeight="1" x14ac:dyDescent="0.25">
      <c r="A24" s="37">
        <v>17</v>
      </c>
      <c r="B24" s="19" t="str">
        <f>Data!B20</f>
        <v>Mujamilatul Fikri</v>
      </c>
      <c r="C24" s="19" t="str">
        <f>Data!C20</f>
        <v>Utsmaniyyah II</v>
      </c>
      <c r="D24" s="40">
        <f>'Tartil dan Fashohah'!L24</f>
        <v>0</v>
      </c>
      <c r="E24" s="39">
        <v>9.5</v>
      </c>
      <c r="F24" s="39">
        <v>8</v>
      </c>
      <c r="G24" s="39">
        <v>7</v>
      </c>
      <c r="H24" s="39">
        <v>8</v>
      </c>
      <c r="I24" s="39">
        <v>7</v>
      </c>
      <c r="J24" s="39">
        <v>7</v>
      </c>
      <c r="K24" s="39">
        <v>7.5</v>
      </c>
      <c r="L24" s="39">
        <v>7</v>
      </c>
      <c r="M24" s="22"/>
      <c r="N24" s="19">
        <f t="shared" si="0"/>
        <v>61</v>
      </c>
      <c r="O24" s="19"/>
    </row>
    <row r="25" spans="1:15" ht="20.100000000000001" customHeight="1" x14ac:dyDescent="0.25">
      <c r="A25" s="37">
        <v>18</v>
      </c>
      <c r="B25" s="19" t="str">
        <f>Data!B21</f>
        <v>Nayla Muthia Ismail</v>
      </c>
      <c r="C25" s="19" t="str">
        <f>Data!C21</f>
        <v>Utsmaniyyah II</v>
      </c>
      <c r="D25" s="40">
        <f>'Tartil dan Fashohah'!L25</f>
        <v>0</v>
      </c>
      <c r="E25" s="39">
        <v>9.5</v>
      </c>
      <c r="F25" s="39">
        <v>7</v>
      </c>
      <c r="G25" s="39">
        <v>7</v>
      </c>
      <c r="H25" s="39">
        <v>7</v>
      </c>
      <c r="I25" s="39">
        <v>6.5</v>
      </c>
      <c r="J25" s="39">
        <v>7</v>
      </c>
      <c r="K25" s="39">
        <v>8.5</v>
      </c>
      <c r="L25" s="40">
        <v>5</v>
      </c>
      <c r="M25" s="22"/>
      <c r="N25" s="19">
        <f t="shared" si="0"/>
        <v>57.5</v>
      </c>
      <c r="O25" s="19"/>
    </row>
    <row r="26" spans="1:15" ht="20.100000000000001" customHeight="1" x14ac:dyDescent="0.25">
      <c r="A26" s="37">
        <v>19</v>
      </c>
      <c r="B26" s="19" t="str">
        <f>Data!B22</f>
        <v>Nur Halimah</v>
      </c>
      <c r="C26" s="19" t="str">
        <f>Data!C22</f>
        <v>Utsmaniyyah II</v>
      </c>
      <c r="D26" s="41">
        <f>'Tartil dan Fashohah'!L26</f>
        <v>0</v>
      </c>
      <c r="E26" s="41">
        <v>10</v>
      </c>
      <c r="F26" s="41">
        <v>10</v>
      </c>
      <c r="G26" s="41">
        <v>9</v>
      </c>
      <c r="H26" s="41">
        <v>7</v>
      </c>
      <c r="I26" s="41">
        <v>9</v>
      </c>
      <c r="J26" s="41">
        <v>8</v>
      </c>
      <c r="K26" s="41">
        <v>9</v>
      </c>
      <c r="L26" s="41">
        <v>7</v>
      </c>
      <c r="M26" s="42"/>
      <c r="N26" s="43">
        <f t="shared" si="0"/>
        <v>69</v>
      </c>
      <c r="O26" s="43"/>
    </row>
    <row r="27" spans="1:15" ht="20.100000000000001" customHeight="1" x14ac:dyDescent="0.25">
      <c r="A27" s="37">
        <v>20</v>
      </c>
      <c r="B27" s="19" t="str">
        <f>Data!B23</f>
        <v>Nurul Hidayah</v>
      </c>
      <c r="C27" s="19" t="str">
        <f>Data!C23</f>
        <v>Utsmaniyyah II</v>
      </c>
      <c r="D27" s="41">
        <f>'Tartil dan Fashohah'!L27</f>
        <v>0</v>
      </c>
      <c r="E27" s="41">
        <v>10</v>
      </c>
      <c r="F27" s="41">
        <v>10</v>
      </c>
      <c r="G27" s="41">
        <v>9</v>
      </c>
      <c r="H27" s="41">
        <v>8.5</v>
      </c>
      <c r="I27" s="41">
        <v>6.5</v>
      </c>
      <c r="J27" s="41">
        <v>9</v>
      </c>
      <c r="K27" s="41">
        <v>9.5</v>
      </c>
      <c r="L27" s="41">
        <v>6.5</v>
      </c>
      <c r="M27" s="42"/>
      <c r="N27" s="43">
        <f t="shared" si="0"/>
        <v>69</v>
      </c>
      <c r="O27" s="43"/>
    </row>
    <row r="28" spans="1:15" ht="20.100000000000001" customHeight="1" x14ac:dyDescent="0.25">
      <c r="A28" s="37">
        <v>21</v>
      </c>
      <c r="B28" s="19" t="str">
        <f>Data!B24</f>
        <v>Putri Nur Anisa Mei</v>
      </c>
      <c r="C28" s="19" t="str">
        <f>Data!C24</f>
        <v>Utsmaniyyah II</v>
      </c>
      <c r="D28" s="40">
        <f>'Tartil dan Fashohah'!L28</f>
        <v>0</v>
      </c>
      <c r="E28" s="39">
        <v>10</v>
      </c>
      <c r="F28" s="39">
        <v>10</v>
      </c>
      <c r="G28" s="39">
        <v>9</v>
      </c>
      <c r="H28" s="39">
        <v>5.5</v>
      </c>
      <c r="I28" s="39">
        <v>7.5</v>
      </c>
      <c r="J28" s="39">
        <v>8</v>
      </c>
      <c r="K28" s="39">
        <v>8.5</v>
      </c>
      <c r="L28" s="40">
        <v>5</v>
      </c>
      <c r="M28" s="22"/>
      <c r="N28" s="19">
        <f t="shared" si="0"/>
        <v>63.5</v>
      </c>
      <c r="O28" s="19"/>
    </row>
    <row r="29" spans="1:15" ht="20.100000000000001" customHeight="1" x14ac:dyDescent="0.25">
      <c r="A29" s="37">
        <v>22</v>
      </c>
      <c r="B29" s="19" t="str">
        <f>Data!B25</f>
        <v>Ratna Mustofiah</v>
      </c>
      <c r="C29" s="19" t="str">
        <f>Data!C25</f>
        <v>Utsmaniyyah II</v>
      </c>
      <c r="D29" s="41" t="e">
        <f>'Tartil dan Fashohah'!#REF!</f>
        <v>#REF!</v>
      </c>
      <c r="E29" s="41">
        <v>10</v>
      </c>
      <c r="F29" s="41">
        <v>9</v>
      </c>
      <c r="G29" s="41">
        <v>9</v>
      </c>
      <c r="H29" s="41">
        <v>8.5</v>
      </c>
      <c r="I29" s="41">
        <v>8.5</v>
      </c>
      <c r="J29" s="41">
        <v>9</v>
      </c>
      <c r="K29" s="41">
        <v>9.5</v>
      </c>
      <c r="L29" s="41">
        <v>7</v>
      </c>
      <c r="M29" s="42"/>
      <c r="N29" s="43" t="e">
        <f t="shared" si="0"/>
        <v>#REF!</v>
      </c>
      <c r="O29" s="43"/>
    </row>
    <row r="30" spans="1:15" ht="20.100000000000001" customHeight="1" x14ac:dyDescent="0.25">
      <c r="A30" s="158" t="s">
        <v>1</v>
      </c>
      <c r="B30" s="158" t="s">
        <v>2</v>
      </c>
      <c r="C30" s="158" t="s">
        <v>3</v>
      </c>
      <c r="D30" s="158" t="s">
        <v>52</v>
      </c>
      <c r="E30" s="158"/>
      <c r="F30" s="158"/>
      <c r="G30" s="158"/>
      <c r="H30" s="158"/>
      <c r="I30" s="158"/>
      <c r="J30" s="158"/>
      <c r="K30" s="158"/>
      <c r="L30" s="158"/>
      <c r="M30" s="158"/>
      <c r="N30" s="160" t="s">
        <v>7</v>
      </c>
      <c r="O30" s="158" t="s">
        <v>8</v>
      </c>
    </row>
    <row r="31" spans="1:15" ht="20.100000000000001" customHeight="1" x14ac:dyDescent="0.25">
      <c r="A31" s="158"/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8"/>
      <c r="N31" s="160"/>
      <c r="O31" s="158"/>
    </row>
    <row r="32" spans="1:15" ht="20.100000000000001" customHeight="1" x14ac:dyDescent="0.25">
      <c r="A32" s="158"/>
      <c r="B32" s="158"/>
      <c r="C32" s="158"/>
      <c r="D32" s="36">
        <v>1</v>
      </c>
      <c r="E32" s="36">
        <v>2</v>
      </c>
      <c r="F32" s="36">
        <v>3</v>
      </c>
      <c r="G32" s="36">
        <v>4</v>
      </c>
      <c r="H32" s="36">
        <v>5</v>
      </c>
      <c r="I32" s="36">
        <v>6</v>
      </c>
      <c r="J32" s="36">
        <v>7</v>
      </c>
      <c r="K32" s="36">
        <v>8</v>
      </c>
      <c r="L32" s="36">
        <v>9</v>
      </c>
      <c r="M32" s="36"/>
      <c r="N32" s="160"/>
      <c r="O32" s="158"/>
    </row>
    <row r="33" spans="1:15" ht="20.100000000000001" customHeight="1" x14ac:dyDescent="0.25">
      <c r="A33" s="20">
        <v>23</v>
      </c>
      <c r="B33" s="21" t="str">
        <f>Data!B26</f>
        <v>Rifatun Nabila</v>
      </c>
      <c r="C33" s="21" t="str">
        <f>Data!C26</f>
        <v>Utsmaniyyah II</v>
      </c>
      <c r="D33" s="40" t="e">
        <f>'Tartil dan Fashohah'!#REF!</f>
        <v>#REF!</v>
      </c>
      <c r="E33" s="39">
        <v>9.5</v>
      </c>
      <c r="F33" s="39">
        <v>9</v>
      </c>
      <c r="G33" s="39">
        <v>10</v>
      </c>
      <c r="H33" s="39">
        <v>6.5</v>
      </c>
      <c r="I33" s="39">
        <v>7.5</v>
      </c>
      <c r="J33" s="40">
        <v>6</v>
      </c>
      <c r="K33" s="39">
        <v>8.5</v>
      </c>
      <c r="L33" s="39">
        <v>7</v>
      </c>
      <c r="M33" s="22"/>
      <c r="N33" s="21" t="e">
        <f>SUM(D33:M33)</f>
        <v>#REF!</v>
      </c>
      <c r="O33" s="21"/>
    </row>
    <row r="34" spans="1:15" ht="20.100000000000001" customHeight="1" x14ac:dyDescent="0.25">
      <c r="A34" s="20">
        <v>24</v>
      </c>
      <c r="B34" s="21" t="str">
        <f>Data!B27</f>
        <v>Rita Yulianti</v>
      </c>
      <c r="C34" s="21" t="str">
        <f>Data!C27</f>
        <v>Utsmaniyyah II</v>
      </c>
      <c r="D34" s="39" t="e">
        <f>'Tartil dan Fashohah'!#REF!</f>
        <v>#REF!</v>
      </c>
      <c r="E34" s="39">
        <v>10</v>
      </c>
      <c r="F34" s="39">
        <v>9</v>
      </c>
      <c r="G34" s="39">
        <v>9</v>
      </c>
      <c r="H34" s="39">
        <v>8.5</v>
      </c>
      <c r="I34" s="39">
        <v>8.5</v>
      </c>
      <c r="J34" s="39">
        <v>7</v>
      </c>
      <c r="K34" s="39">
        <v>8</v>
      </c>
      <c r="L34" s="40">
        <v>5</v>
      </c>
      <c r="M34" s="20"/>
      <c r="N34" s="21" t="e">
        <f t="shared" ref="N34:N41" si="1">SUM(D34:M34)</f>
        <v>#REF!</v>
      </c>
      <c r="O34" s="21"/>
    </row>
    <row r="35" spans="1:15" ht="20.100000000000001" customHeight="1" x14ac:dyDescent="0.25">
      <c r="A35" s="20">
        <v>25</v>
      </c>
      <c r="B35" s="21" t="str">
        <f>Data!B28</f>
        <v>Samsul Anwar</v>
      </c>
      <c r="C35" s="21" t="str">
        <f>Data!C28</f>
        <v>Utsmaniyyah II</v>
      </c>
      <c r="D35" s="39" t="e">
        <f>'Tartil dan Fashohah'!#REF!</f>
        <v>#REF!</v>
      </c>
      <c r="E35" s="39">
        <v>10</v>
      </c>
      <c r="F35" s="39">
        <v>10</v>
      </c>
      <c r="G35" s="39">
        <v>8</v>
      </c>
      <c r="H35" s="39">
        <v>8.5</v>
      </c>
      <c r="I35" s="39">
        <v>8.5</v>
      </c>
      <c r="J35" s="39">
        <v>7</v>
      </c>
      <c r="K35" s="39">
        <v>8.5</v>
      </c>
      <c r="L35" s="40">
        <v>5</v>
      </c>
      <c r="M35" s="20"/>
      <c r="N35" s="21" t="e">
        <f t="shared" si="1"/>
        <v>#REF!</v>
      </c>
      <c r="O35" s="21"/>
    </row>
    <row r="36" spans="1:15" ht="20.100000000000001" customHeight="1" x14ac:dyDescent="0.25">
      <c r="A36" s="20">
        <v>26</v>
      </c>
      <c r="B36" s="21" t="str">
        <f>Data!B29</f>
        <v>Siti Fatma Wati</v>
      </c>
      <c r="C36" s="21" t="str">
        <f>Data!C29</f>
        <v>Utsmaniyyah II</v>
      </c>
      <c r="D36" s="40" t="e">
        <f>'Tartil dan Fashohah'!#REF!</f>
        <v>#REF!</v>
      </c>
      <c r="E36" s="39">
        <v>9.5</v>
      </c>
      <c r="F36" s="39">
        <v>9</v>
      </c>
      <c r="G36" s="39">
        <v>9</v>
      </c>
      <c r="H36" s="39">
        <v>6.5</v>
      </c>
      <c r="I36" s="39">
        <v>7</v>
      </c>
      <c r="J36" s="39">
        <v>8</v>
      </c>
      <c r="K36" s="39">
        <v>8</v>
      </c>
      <c r="L36" s="40">
        <v>6.5</v>
      </c>
      <c r="M36" s="20"/>
      <c r="N36" s="21" t="e">
        <f t="shared" si="1"/>
        <v>#REF!</v>
      </c>
      <c r="O36" s="21"/>
    </row>
    <row r="37" spans="1:15" ht="20.100000000000001" customHeight="1" x14ac:dyDescent="0.25">
      <c r="A37" s="20">
        <v>27</v>
      </c>
      <c r="B37" s="21" t="str">
        <f>Data!B30</f>
        <v>Siti Munawaroh</v>
      </c>
      <c r="C37" s="21" t="str">
        <f>Data!C30</f>
        <v>Utsmaniyyah II</v>
      </c>
      <c r="D37" s="40" t="e">
        <f>'Tartil dan Fashohah'!#REF!</f>
        <v>#REF!</v>
      </c>
      <c r="E37" s="39">
        <v>7.5</v>
      </c>
      <c r="F37" s="39">
        <v>7</v>
      </c>
      <c r="G37" s="39">
        <v>8</v>
      </c>
      <c r="H37" s="39">
        <v>7.5</v>
      </c>
      <c r="I37" s="39">
        <v>7</v>
      </c>
      <c r="J37" s="39">
        <v>6</v>
      </c>
      <c r="K37" s="39">
        <v>8</v>
      </c>
      <c r="L37" s="40">
        <v>5</v>
      </c>
      <c r="M37" s="23"/>
      <c r="N37" s="21" t="e">
        <f t="shared" si="1"/>
        <v>#REF!</v>
      </c>
      <c r="O37" s="21"/>
    </row>
    <row r="38" spans="1:15" ht="20.100000000000001" customHeight="1" x14ac:dyDescent="0.25">
      <c r="A38" s="20">
        <v>28</v>
      </c>
      <c r="B38" s="21" t="str">
        <f>Data!B31</f>
        <v>Siti Nur Jannah</v>
      </c>
      <c r="C38" s="21" t="str">
        <f>Data!C31</f>
        <v>Utsmaniyyah II</v>
      </c>
      <c r="D38" s="41" t="e">
        <f>'Tartil dan Fashohah'!#REF!</f>
        <v>#REF!</v>
      </c>
      <c r="E38" s="41">
        <v>9.5</v>
      </c>
      <c r="F38" s="41">
        <v>10</v>
      </c>
      <c r="G38" s="41">
        <v>10</v>
      </c>
      <c r="H38" s="41">
        <v>7.5</v>
      </c>
      <c r="I38" s="41">
        <v>8</v>
      </c>
      <c r="J38" s="41">
        <v>8</v>
      </c>
      <c r="K38" s="41">
        <v>9</v>
      </c>
      <c r="L38" s="41">
        <v>10</v>
      </c>
      <c r="M38" s="44"/>
      <c r="N38" s="45" t="e">
        <f t="shared" si="1"/>
        <v>#REF!</v>
      </c>
      <c r="O38" s="45"/>
    </row>
    <row r="39" spans="1:15" ht="20.100000000000001" customHeight="1" x14ac:dyDescent="0.25">
      <c r="A39" s="20">
        <v>29</v>
      </c>
      <c r="B39" s="21" t="str">
        <f>Data!B32</f>
        <v>Umi Kulsum Ambar Wati</v>
      </c>
      <c r="C39" s="21" t="str">
        <f>Data!C32</f>
        <v>Utsmaniyyah II</v>
      </c>
      <c r="D39" s="41" t="e">
        <f>'Tartil dan Fashohah'!#REF!</f>
        <v>#REF!</v>
      </c>
      <c r="E39" s="41">
        <v>10</v>
      </c>
      <c r="F39" s="41">
        <v>9</v>
      </c>
      <c r="G39" s="41">
        <v>7</v>
      </c>
      <c r="H39" s="41">
        <v>8</v>
      </c>
      <c r="I39" s="41">
        <v>7.5</v>
      </c>
      <c r="J39" s="41">
        <v>8</v>
      </c>
      <c r="K39" s="41">
        <v>8</v>
      </c>
      <c r="L39" s="41">
        <v>6.5</v>
      </c>
      <c r="M39" s="44"/>
      <c r="N39" s="45" t="e">
        <f t="shared" si="1"/>
        <v>#REF!</v>
      </c>
      <c r="O39" s="45"/>
    </row>
    <row r="40" spans="1:15" ht="20.100000000000001" customHeight="1" x14ac:dyDescent="0.25">
      <c r="A40" s="20">
        <v>30</v>
      </c>
      <c r="B40" s="21" t="str">
        <f>Data!B33</f>
        <v>Wahyu Indra Pratama</v>
      </c>
      <c r="C40" s="21" t="str">
        <f>Data!C33</f>
        <v>Utsmaniyyah II</v>
      </c>
      <c r="D40" s="40" t="e">
        <f>'Tartil dan Fashohah'!#REF!</f>
        <v>#REF!</v>
      </c>
      <c r="E40" s="39">
        <v>9.5</v>
      </c>
      <c r="F40" s="39">
        <v>10</v>
      </c>
      <c r="G40" s="39">
        <v>6</v>
      </c>
      <c r="H40" s="39">
        <v>8.5</v>
      </c>
      <c r="I40" s="39">
        <v>7</v>
      </c>
      <c r="J40" s="39">
        <v>7</v>
      </c>
      <c r="K40" s="39">
        <v>8.5</v>
      </c>
      <c r="L40" s="40">
        <v>5</v>
      </c>
      <c r="M40" s="20"/>
      <c r="N40" s="21" t="e">
        <f t="shared" si="1"/>
        <v>#REF!</v>
      </c>
      <c r="O40" s="21"/>
    </row>
    <row r="41" spans="1:15" ht="20.100000000000001" customHeight="1" x14ac:dyDescent="0.25">
      <c r="A41" s="20">
        <v>31</v>
      </c>
      <c r="B41" s="21" t="str">
        <f>Data!B34</f>
        <v>Wulan Suci Ramadhani</v>
      </c>
      <c r="C41" s="21" t="str">
        <f>Data!C34</f>
        <v>Utsmaniyyah II</v>
      </c>
      <c r="D41" s="40" t="e">
        <f>'Tartil dan Fashohah'!#REF!</f>
        <v>#REF!</v>
      </c>
      <c r="E41" s="39">
        <v>9</v>
      </c>
      <c r="F41" s="39">
        <v>9</v>
      </c>
      <c r="G41" s="39">
        <v>8</v>
      </c>
      <c r="H41" s="39">
        <v>7.5</v>
      </c>
      <c r="I41" s="39">
        <v>7.5</v>
      </c>
      <c r="J41" s="39">
        <v>8</v>
      </c>
      <c r="K41" s="39">
        <v>7.5</v>
      </c>
      <c r="L41" s="40">
        <v>5</v>
      </c>
      <c r="M41" s="20"/>
      <c r="N41" s="21" t="e">
        <f t="shared" si="1"/>
        <v>#REF!</v>
      </c>
      <c r="O41" s="21"/>
    </row>
    <row r="42" spans="1:15" ht="20.100000000000001" customHeight="1" x14ac:dyDescent="0.25">
      <c r="D42" s="16">
        <v>60</v>
      </c>
      <c r="E42" s="16">
        <v>65</v>
      </c>
      <c r="F42" s="16">
        <v>65</v>
      </c>
      <c r="G42" s="16">
        <v>65</v>
      </c>
      <c r="H42" s="16">
        <v>60</v>
      </c>
      <c r="I42" s="16">
        <v>60</v>
      </c>
      <c r="J42" s="16">
        <v>65</v>
      </c>
      <c r="K42" s="16">
        <v>65</v>
      </c>
      <c r="L42" s="16">
        <v>65</v>
      </c>
    </row>
    <row r="43" spans="1:15" ht="20.100000000000001" customHeight="1" x14ac:dyDescent="0.25">
      <c r="A43" s="16">
        <v>1</v>
      </c>
      <c r="B43" s="16" t="s">
        <v>55</v>
      </c>
      <c r="C43" s="16">
        <v>6</v>
      </c>
      <c r="D43" s="16" t="s">
        <v>60</v>
      </c>
      <c r="K43" s="15" t="str">
        <f>Data!G1</f>
        <v>Tambak Jaya,             Maret 2018</v>
      </c>
    </row>
    <row r="44" spans="1:15" ht="20.100000000000001" customHeight="1" x14ac:dyDescent="0.25">
      <c r="A44" s="16">
        <v>2</v>
      </c>
      <c r="B44" s="16" t="s">
        <v>56</v>
      </c>
      <c r="C44" s="16">
        <v>7</v>
      </c>
      <c r="D44" s="16" t="s">
        <v>61</v>
      </c>
      <c r="K44" s="16" t="s">
        <v>53</v>
      </c>
    </row>
    <row r="45" spans="1:15" ht="20.100000000000001" customHeight="1" x14ac:dyDescent="0.25">
      <c r="A45" s="16">
        <v>3</v>
      </c>
      <c r="B45" s="16" t="s">
        <v>57</v>
      </c>
      <c r="C45" s="16">
        <v>8</v>
      </c>
      <c r="D45" s="16" t="s">
        <v>62</v>
      </c>
      <c r="K45" s="16"/>
    </row>
    <row r="46" spans="1:15" ht="20.100000000000001" customHeight="1" x14ac:dyDescent="0.25">
      <c r="A46" s="16">
        <v>4</v>
      </c>
      <c r="B46" s="16" t="s">
        <v>58</v>
      </c>
      <c r="C46" s="16">
        <v>9</v>
      </c>
      <c r="D46" s="16" t="s">
        <v>63</v>
      </c>
      <c r="K46" s="17" t="s">
        <v>96</v>
      </c>
    </row>
    <row r="47" spans="1:15" ht="20.100000000000001" customHeight="1" x14ac:dyDescent="0.25">
      <c r="A47" s="16">
        <v>5</v>
      </c>
      <c r="B47" s="16" t="s">
        <v>59</v>
      </c>
      <c r="C47" s="16"/>
      <c r="D47" s="16"/>
    </row>
  </sheetData>
  <mergeCells count="16">
    <mergeCell ref="O30:O32"/>
    <mergeCell ref="D31:M31"/>
    <mergeCell ref="A1:O1"/>
    <mergeCell ref="A2:O2"/>
    <mergeCell ref="A5:A7"/>
    <mergeCell ref="B5:B7"/>
    <mergeCell ref="C5:C7"/>
    <mergeCell ref="D5:M5"/>
    <mergeCell ref="N5:N7"/>
    <mergeCell ref="O5:O7"/>
    <mergeCell ref="D6:M6"/>
    <mergeCell ref="A30:A32"/>
    <mergeCell ref="B30:B32"/>
    <mergeCell ref="C30:C32"/>
    <mergeCell ref="D30:M30"/>
    <mergeCell ref="N30:N32"/>
  </mergeCells>
  <pageMargins left="0.70866141732283472" right="0.70866141732283472" top="0.74803149606299213" bottom="0.74803149606299213" header="0.31496062992125984" footer="0.31496062992125984"/>
  <pageSetup paperSize="9" scale="85" orientation="landscape" horizontalDpi="4294967293" verticalDpi="0" r:id="rId1"/>
  <rowBreaks count="1" manualBreakCount="1">
    <brk id="35" max="16383" man="1"/>
  </row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4"/>
  <sheetViews>
    <sheetView zoomScale="85" zoomScaleNormal="85" workbookViewId="0">
      <selection activeCell="D4" sqref="D4"/>
    </sheetView>
  </sheetViews>
  <sheetFormatPr defaultRowHeight="15" x14ac:dyDescent="0.25"/>
  <cols>
    <col min="1" max="1" width="6.85546875" customWidth="1"/>
    <col min="2" max="2" width="26" customWidth="1"/>
    <col min="3" max="3" width="14.5703125" customWidth="1"/>
    <col min="4" max="4" width="9.7109375" customWidth="1"/>
    <col min="5" max="5" width="12.140625" customWidth="1"/>
  </cols>
  <sheetData>
    <row r="1" spans="1:5" x14ac:dyDescent="0.25">
      <c r="A1" s="162" t="s">
        <v>103</v>
      </c>
      <c r="B1" s="162" t="s">
        <v>2</v>
      </c>
      <c r="C1" s="158" t="s">
        <v>3</v>
      </c>
      <c r="D1" s="160" t="s">
        <v>7</v>
      </c>
      <c r="E1" s="158" t="s">
        <v>102</v>
      </c>
    </row>
    <row r="2" spans="1:5" x14ac:dyDescent="0.25">
      <c r="A2" s="163"/>
      <c r="B2" s="163"/>
      <c r="C2" s="158"/>
      <c r="D2" s="160"/>
      <c r="E2" s="158"/>
    </row>
    <row r="3" spans="1:5" ht="15.75" thickBot="1" x14ac:dyDescent="0.3">
      <c r="A3" s="163"/>
      <c r="B3" s="163"/>
      <c r="C3" s="161"/>
      <c r="D3" s="162"/>
      <c r="E3" s="161"/>
    </row>
    <row r="4" spans="1:5" ht="16.5" thickBot="1" x14ac:dyDescent="0.3">
      <c r="A4" s="20">
        <v>1</v>
      </c>
      <c r="B4" s="166" t="str">
        <f>VLOOKUP(A4,'Data '!A1:J35,3,0)</f>
        <v>Ahmad Alhabib Ramadhan</v>
      </c>
      <c r="C4" s="166" t="str">
        <f>VLOOKUP(A4,'Data '!A1:J35,2,0)</f>
        <v>Utsmaniyyah III</v>
      </c>
      <c r="D4" s="48">
        <f>REKAP!N8</f>
        <v>70.5</v>
      </c>
      <c r="E4" s="47">
        <f t="shared" ref="E4:E24" si="0">_xlfn.RANK.EQ(D4,$D$4:$D$24,0)</f>
        <v>2</v>
      </c>
    </row>
    <row r="5" spans="1:5" ht="16.5" thickBot="1" x14ac:dyDescent="0.3">
      <c r="A5" s="20">
        <v>2</v>
      </c>
      <c r="B5" s="166" t="str">
        <f>VLOOKUP(A5,'Data '!A2:J36,3,0)</f>
        <v>Aulia Zahra El Fikri</v>
      </c>
      <c r="C5" s="166" t="str">
        <f>VLOOKUP(A5,'Data '!A2:J36,2,0)</f>
        <v>Utsmaniyyah III</v>
      </c>
      <c r="D5" s="48">
        <f>REKAP!N9</f>
        <v>71.5</v>
      </c>
      <c r="E5" s="47">
        <f t="shared" si="0"/>
        <v>1</v>
      </c>
    </row>
    <row r="6" spans="1:5" ht="16.5" thickBot="1" x14ac:dyDescent="0.3">
      <c r="A6" s="20">
        <v>3</v>
      </c>
      <c r="B6" s="166" t="str">
        <f>VLOOKUP(A6,'Data '!A3:J37,3,0)</f>
        <v>Nur Habibi</v>
      </c>
      <c r="C6" s="166" t="str">
        <f>VLOOKUP(A6,'Data '!A3:J37,2,0)</f>
        <v>Utsmaniyyah III</v>
      </c>
      <c r="D6" s="48">
        <f>REKAP!N10</f>
        <v>59.25</v>
      </c>
      <c r="E6" s="47">
        <f t="shared" si="0"/>
        <v>6</v>
      </c>
    </row>
    <row r="7" spans="1:5" ht="16.5" thickBot="1" x14ac:dyDescent="0.3">
      <c r="A7" s="20">
        <v>4</v>
      </c>
      <c r="B7" s="166" t="str">
        <f>VLOOKUP(A7,'Data '!A4:J38,3,0)</f>
        <v>M. Fatan Azzamy Isma'il</v>
      </c>
      <c r="C7" s="166" t="str">
        <f>VLOOKUP(A7,'Data '!A4:J38,2,0)</f>
        <v>Utsmaniyyah III</v>
      </c>
      <c r="D7" s="48">
        <f>REKAP!N11</f>
        <v>64</v>
      </c>
      <c r="E7" s="47">
        <f t="shared" si="0"/>
        <v>4</v>
      </c>
    </row>
    <row r="8" spans="1:5" ht="16.5" thickBot="1" x14ac:dyDescent="0.3">
      <c r="A8" s="20">
        <v>5</v>
      </c>
      <c r="B8" s="166" t="str">
        <f>VLOOKUP(A8,'Data '!A5:J39,3,0)</f>
        <v>M. Mahi Mutawakkil</v>
      </c>
      <c r="C8" s="166" t="str">
        <f>VLOOKUP(A8,'Data '!A5:J39,2,0)</f>
        <v>Utsmaniyyah III</v>
      </c>
      <c r="D8" s="48">
        <f>REKAP!N12</f>
        <v>70.5</v>
      </c>
      <c r="E8" s="47">
        <f t="shared" si="0"/>
        <v>2</v>
      </c>
    </row>
    <row r="9" spans="1:5" ht="16.5" thickBot="1" x14ac:dyDescent="0.3">
      <c r="A9" s="20">
        <v>6</v>
      </c>
      <c r="B9" s="166" t="str">
        <f>VLOOKUP(A9,'Data '!A3:J37,3,0)</f>
        <v>Renoval Faiz Al Ghifari</v>
      </c>
      <c r="C9" s="166" t="str">
        <f>VLOOKUP(A9,'Data '!A6:J40,2,0)</f>
        <v>Utsmaniyyah III</v>
      </c>
      <c r="D9" s="48">
        <f>REKAP!N13</f>
        <v>62.5</v>
      </c>
      <c r="E9" s="47">
        <f t="shared" si="0"/>
        <v>5</v>
      </c>
    </row>
    <row r="10" spans="1:5" ht="16.5" thickBot="1" x14ac:dyDescent="0.3">
      <c r="A10" s="20">
        <v>7</v>
      </c>
      <c r="B10" s="166" t="str">
        <f>VLOOKUP(A10,'Data '!A4:J38,3,0)</f>
        <v>Sindi Wulandari</v>
      </c>
      <c r="C10" s="166" t="str">
        <f>VLOOKUP(A10,'Data '!A7:J41,2,0)</f>
        <v>Utsmaniyyah III</v>
      </c>
      <c r="D10" s="48">
        <f>REKAP!N14</f>
        <v>59</v>
      </c>
      <c r="E10" s="47">
        <f t="shared" si="0"/>
        <v>7</v>
      </c>
    </row>
    <row r="11" spans="1:5" ht="16.5" thickBot="1" x14ac:dyDescent="0.3">
      <c r="A11" s="20">
        <v>8</v>
      </c>
      <c r="B11" s="166">
        <f>VLOOKUP(A11,'Data '!A5:J39,3,0)</f>
        <v>0</v>
      </c>
      <c r="C11" s="166">
        <f>VLOOKUP(A11,'Data '!A8:J42,2,0)</f>
        <v>0</v>
      </c>
      <c r="D11" s="48">
        <f>REKAP!N15</f>
        <v>0</v>
      </c>
      <c r="E11" s="47">
        <f t="shared" si="0"/>
        <v>8</v>
      </c>
    </row>
    <row r="12" spans="1:5" ht="16.5" thickBot="1" x14ac:dyDescent="0.3">
      <c r="A12" s="20">
        <v>9</v>
      </c>
      <c r="B12" s="166">
        <f>VLOOKUP(A12,'Data '!A6:J40,3,0)</f>
        <v>0</v>
      </c>
      <c r="C12" s="166">
        <f>VLOOKUP(A12,'Data '!A8:J43,2,0)</f>
        <v>0</v>
      </c>
      <c r="D12" s="48">
        <f>REKAP!N16</f>
        <v>0</v>
      </c>
      <c r="E12" s="47">
        <f t="shared" si="0"/>
        <v>8</v>
      </c>
    </row>
    <row r="13" spans="1:5" ht="16.5" thickBot="1" x14ac:dyDescent="0.3">
      <c r="A13" s="20">
        <v>10</v>
      </c>
      <c r="B13" s="166">
        <f>VLOOKUP(A13,'Data '!A7:J41,3,0)</f>
        <v>0</v>
      </c>
      <c r="C13" s="166">
        <f>VLOOKUP(A13,'Data '!A9:J44,2,0)</f>
        <v>0</v>
      </c>
      <c r="D13" s="48">
        <f>REKAP!N17</f>
        <v>0</v>
      </c>
      <c r="E13" s="47">
        <f t="shared" si="0"/>
        <v>8</v>
      </c>
    </row>
    <row r="14" spans="1:5" ht="16.5" thickBot="1" x14ac:dyDescent="0.3">
      <c r="A14" s="20">
        <v>11</v>
      </c>
      <c r="B14" s="166">
        <f>VLOOKUP(A14,'Data '!A8:J42,3,0)</f>
        <v>0</v>
      </c>
      <c r="C14" s="166">
        <f>VLOOKUP(A14,'Data '!A10:J45,2,0)</f>
        <v>0</v>
      </c>
      <c r="D14" s="48">
        <f>REKAP!N18</f>
        <v>0</v>
      </c>
      <c r="E14" s="47">
        <f t="shared" si="0"/>
        <v>8</v>
      </c>
    </row>
    <row r="15" spans="1:5" ht="16.5" thickBot="1" x14ac:dyDescent="0.3">
      <c r="A15" s="20">
        <v>12</v>
      </c>
      <c r="B15" s="166">
        <f>VLOOKUP(A15,'Data '!A8:J43,3,0)</f>
        <v>0</v>
      </c>
      <c r="C15" s="166">
        <f>VLOOKUP(A15,'Data '!A11:J46,2,0)</f>
        <v>0</v>
      </c>
      <c r="D15" s="48">
        <f>REKAP!N19</f>
        <v>0</v>
      </c>
      <c r="E15" s="47">
        <f t="shared" si="0"/>
        <v>8</v>
      </c>
    </row>
    <row r="16" spans="1:5" ht="16.5" thickBot="1" x14ac:dyDescent="0.3">
      <c r="A16" s="20">
        <v>13</v>
      </c>
      <c r="B16" s="166">
        <f>VLOOKUP(A16,'Data '!A9:J44,3,0)</f>
        <v>0</v>
      </c>
      <c r="C16" s="166">
        <f>VLOOKUP(A16,'Data '!A12:J47,2,0)</f>
        <v>0</v>
      </c>
      <c r="D16" s="48">
        <f>REKAP!N20</f>
        <v>0</v>
      </c>
      <c r="E16" s="47">
        <f t="shared" si="0"/>
        <v>8</v>
      </c>
    </row>
    <row r="17" spans="1:5" ht="16.5" thickBot="1" x14ac:dyDescent="0.3">
      <c r="A17" s="20">
        <v>14</v>
      </c>
      <c r="B17" s="166">
        <f>VLOOKUP(A17,'Data '!A10:J45,3,0)</f>
        <v>0</v>
      </c>
      <c r="C17" s="166">
        <f>VLOOKUP(A17,'Data '!A13:J48,2,0)</f>
        <v>0</v>
      </c>
      <c r="D17" s="48">
        <f>REKAP!N21</f>
        <v>0</v>
      </c>
      <c r="E17" s="47">
        <f t="shared" si="0"/>
        <v>8</v>
      </c>
    </row>
    <row r="18" spans="1:5" ht="16.5" thickBot="1" x14ac:dyDescent="0.3">
      <c r="A18" s="20">
        <v>15</v>
      </c>
      <c r="B18" s="166">
        <f>VLOOKUP(A18,'Data '!A11:J46,3,0)</f>
        <v>0</v>
      </c>
      <c r="C18" s="166">
        <f>VLOOKUP(A18,'Data '!A14:J49,2,0)</f>
        <v>0</v>
      </c>
      <c r="D18" s="48">
        <f>REKAP!N22</f>
        <v>0</v>
      </c>
      <c r="E18" s="47">
        <f t="shared" si="0"/>
        <v>8</v>
      </c>
    </row>
    <row r="19" spans="1:5" ht="16.5" thickBot="1" x14ac:dyDescent="0.3">
      <c r="A19" s="20">
        <v>16</v>
      </c>
      <c r="B19" s="166">
        <f>VLOOKUP(A19,'Data '!A12:J47,3,0)</f>
        <v>0</v>
      </c>
      <c r="C19" s="166">
        <f>VLOOKUP(A19,'Data '!A15:J50,2,0)</f>
        <v>0</v>
      </c>
      <c r="D19" s="48">
        <f>REKAP!N23</f>
        <v>0</v>
      </c>
      <c r="E19" s="47">
        <f t="shared" si="0"/>
        <v>8</v>
      </c>
    </row>
    <row r="20" spans="1:5" ht="16.5" thickBot="1" x14ac:dyDescent="0.3">
      <c r="A20" s="20">
        <v>17</v>
      </c>
      <c r="B20" s="166">
        <f>VLOOKUP(A20,'Data '!A13:J48,3,0)</f>
        <v>0</v>
      </c>
      <c r="C20" s="166">
        <f>VLOOKUP(A20,'Data '!A16:J51,2,0)</f>
        <v>0</v>
      </c>
      <c r="D20" s="48">
        <f>REKAP!N24</f>
        <v>0</v>
      </c>
      <c r="E20" s="47">
        <f t="shared" si="0"/>
        <v>8</v>
      </c>
    </row>
    <row r="21" spans="1:5" ht="16.5" thickBot="1" x14ac:dyDescent="0.3">
      <c r="A21" s="20">
        <v>18</v>
      </c>
      <c r="B21" s="166">
        <f>VLOOKUP(A21,'Data '!A14:J49,3,0)</f>
        <v>0</v>
      </c>
      <c r="C21" s="166">
        <f>VLOOKUP(A21,'Data '!A17:J52,2,0)</f>
        <v>0</v>
      </c>
      <c r="D21" s="48">
        <f>REKAP!N25</f>
        <v>0</v>
      </c>
      <c r="E21" s="47">
        <f t="shared" si="0"/>
        <v>8</v>
      </c>
    </row>
    <row r="22" spans="1:5" ht="16.5" thickBot="1" x14ac:dyDescent="0.3">
      <c r="A22" s="20">
        <v>19</v>
      </c>
      <c r="B22" s="166">
        <f>VLOOKUP(A22,'Data '!A15:J50,3,0)</f>
        <v>0</v>
      </c>
      <c r="C22" s="166">
        <f>VLOOKUP(A22,'Data '!A18:J53,2,0)</f>
        <v>0</v>
      </c>
      <c r="D22" s="48">
        <f>REKAP!N26</f>
        <v>0</v>
      </c>
      <c r="E22" s="47">
        <f t="shared" si="0"/>
        <v>8</v>
      </c>
    </row>
    <row r="23" spans="1:5" ht="16.5" thickBot="1" x14ac:dyDescent="0.3">
      <c r="A23" s="20">
        <v>20</v>
      </c>
      <c r="B23" s="166">
        <f>VLOOKUP(A23,'Data '!A16:J51,3,0)</f>
        <v>0</v>
      </c>
      <c r="C23" s="166">
        <f>VLOOKUP(A23,'Data '!A19:J54,2,0)</f>
        <v>0</v>
      </c>
      <c r="D23" s="48">
        <f>REKAP!N27</f>
        <v>0</v>
      </c>
      <c r="E23" s="47">
        <f t="shared" si="0"/>
        <v>8</v>
      </c>
    </row>
    <row r="24" spans="1:5" ht="15.75" x14ac:dyDescent="0.25">
      <c r="A24" s="20">
        <v>21</v>
      </c>
      <c r="B24" s="166">
        <f>VLOOKUP(A24,'Data '!A17:J52,3,0)</f>
        <v>0</v>
      </c>
      <c r="C24" s="166">
        <f>VLOOKUP(A24,'Data '!A20:J55,2,0)</f>
        <v>0</v>
      </c>
      <c r="D24" s="48">
        <f>REKAP!N28</f>
        <v>0</v>
      </c>
      <c r="E24" s="47">
        <f t="shared" si="0"/>
        <v>8</v>
      </c>
    </row>
  </sheetData>
  <mergeCells count="5">
    <mergeCell ref="E1:E3"/>
    <mergeCell ref="A1:A3"/>
    <mergeCell ref="B1:B3"/>
    <mergeCell ref="C1:C3"/>
    <mergeCell ref="D1:D3"/>
  </mergeCells>
  <pageMargins left="0.7" right="0.7" top="0.75" bottom="0.75" header="0.3" footer="0.3"/>
  <pageSetup paperSize="9" scale="95" orientation="portrait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28"/>
  <sheetViews>
    <sheetView zoomScale="70" zoomScaleNormal="70" workbookViewId="0">
      <selection activeCell="J12" sqref="J12"/>
    </sheetView>
  </sheetViews>
  <sheetFormatPr defaultRowHeight="24.95" customHeight="1" x14ac:dyDescent="0.2"/>
  <cols>
    <col min="1" max="1" width="4.85546875" style="25" customWidth="1"/>
    <col min="2" max="2" width="26.85546875" style="25" customWidth="1"/>
    <col min="3" max="3" width="1.42578125" style="25" customWidth="1"/>
    <col min="4" max="4" width="60.140625" style="25" customWidth="1"/>
    <col min="5" max="5" width="4.28515625" style="25" customWidth="1"/>
    <col min="6" max="6" width="7.28515625" style="25" hidden="1" customWidth="1"/>
    <col min="7" max="16384" width="9.140625" style="25"/>
  </cols>
  <sheetData>
    <row r="1" spans="1:18" ht="24.95" customHeight="1" x14ac:dyDescent="0.2">
      <c r="A1" s="165" t="s">
        <v>109</v>
      </c>
      <c r="B1" s="165"/>
      <c r="C1" s="165"/>
      <c r="D1" s="165"/>
      <c r="E1" s="165"/>
      <c r="F1" s="165"/>
    </row>
    <row r="2" spans="1:18" ht="24.95" customHeight="1" x14ac:dyDescent="0.2">
      <c r="A2" s="165" t="s">
        <v>124</v>
      </c>
      <c r="B2" s="165"/>
      <c r="C2" s="165"/>
      <c r="D2" s="165"/>
      <c r="E2" s="165"/>
      <c r="F2" s="165"/>
    </row>
    <row r="3" spans="1:18" ht="24.95" customHeight="1" x14ac:dyDescent="0.2">
      <c r="A3" s="165" t="s">
        <v>166</v>
      </c>
      <c r="B3" s="165"/>
      <c r="C3" s="165"/>
      <c r="D3" s="165"/>
      <c r="E3" s="165"/>
      <c r="F3" s="165"/>
    </row>
    <row r="5" spans="1:18" ht="24.95" customHeight="1" x14ac:dyDescent="0.2">
      <c r="B5" s="98" t="s">
        <v>110</v>
      </c>
      <c r="C5" s="49" t="s">
        <v>121</v>
      </c>
      <c r="D5" s="87" t="s">
        <v>163</v>
      </c>
      <c r="E5" s="49"/>
      <c r="H5" s="49">
        <f>'Data '!C36</f>
        <v>0</v>
      </c>
      <c r="I5" s="49">
        <f>'Data '!D36</f>
        <v>0</v>
      </c>
      <c r="J5" s="49">
        <f>'Data '!F36</f>
        <v>0</v>
      </c>
      <c r="K5" s="49">
        <f>'Data '!G36</f>
        <v>0</v>
      </c>
      <c r="L5" s="49">
        <f>'Data '!H36</f>
        <v>0</v>
      </c>
      <c r="M5" s="49">
        <f>'Data '!I36</f>
        <v>0</v>
      </c>
      <c r="N5" s="49">
        <f>'Data '!J36</f>
        <v>0</v>
      </c>
      <c r="O5" s="49">
        <f>'Data '!K36</f>
        <v>0</v>
      </c>
      <c r="P5" s="49">
        <f>'Data '!L28</f>
        <v>0</v>
      </c>
      <c r="Q5" s="49">
        <f>'Data '!M21</f>
        <v>0</v>
      </c>
      <c r="R5" s="49"/>
    </row>
    <row r="6" spans="1:18" ht="24.95" customHeight="1" x14ac:dyDescent="0.2">
      <c r="B6" s="98" t="s">
        <v>111</v>
      </c>
      <c r="C6" s="49" t="s">
        <v>121</v>
      </c>
      <c r="D6" s="87" t="s">
        <v>163</v>
      </c>
    </row>
    <row r="7" spans="1:18" ht="24.95" customHeight="1" x14ac:dyDescent="0.2">
      <c r="B7" s="98" t="s">
        <v>112</v>
      </c>
      <c r="C7" s="49" t="s">
        <v>121</v>
      </c>
      <c r="D7" s="87" t="s">
        <v>163</v>
      </c>
    </row>
    <row r="8" spans="1:18" ht="24.95" customHeight="1" x14ac:dyDescent="0.2">
      <c r="B8" s="98" t="s">
        <v>113</v>
      </c>
      <c r="C8" s="49" t="s">
        <v>121</v>
      </c>
      <c r="D8" s="87" t="s">
        <v>163</v>
      </c>
    </row>
    <row r="9" spans="1:18" ht="24.95" customHeight="1" x14ac:dyDescent="0.2">
      <c r="B9" s="98" t="s">
        <v>114</v>
      </c>
      <c r="C9" s="49" t="s">
        <v>121</v>
      </c>
      <c r="D9" s="87" t="s">
        <v>163</v>
      </c>
    </row>
    <row r="10" spans="1:18" ht="24.95" customHeight="1" x14ac:dyDescent="0.2">
      <c r="B10" s="98" t="s">
        <v>115</v>
      </c>
      <c r="C10" s="49" t="s">
        <v>121</v>
      </c>
      <c r="D10" s="87" t="s">
        <v>163</v>
      </c>
      <c r="H10" s="25" t="s">
        <v>125</v>
      </c>
    </row>
    <row r="11" spans="1:18" ht="24.95" customHeight="1" x14ac:dyDescent="0.2">
      <c r="B11" s="98" t="s">
        <v>116</v>
      </c>
      <c r="C11" s="49" t="s">
        <v>121</v>
      </c>
      <c r="D11" s="87" t="s">
        <v>163</v>
      </c>
    </row>
    <row r="12" spans="1:18" ht="24.95" customHeight="1" x14ac:dyDescent="0.2">
      <c r="B12" s="98" t="s">
        <v>117</v>
      </c>
      <c r="C12" s="49" t="s">
        <v>121</v>
      </c>
      <c r="D12" s="25" t="s">
        <v>122</v>
      </c>
    </row>
    <row r="13" spans="1:18" ht="24.95" customHeight="1" x14ac:dyDescent="0.2">
      <c r="B13" s="98" t="s">
        <v>118</v>
      </c>
      <c r="C13" s="49" t="s">
        <v>121</v>
      </c>
      <c r="D13" s="49" t="s">
        <v>169</v>
      </c>
    </row>
    <row r="14" spans="1:18" ht="37.5" customHeight="1" x14ac:dyDescent="0.2">
      <c r="B14" s="98" t="s">
        <v>119</v>
      </c>
      <c r="C14" s="49" t="s">
        <v>121</v>
      </c>
      <c r="D14" s="88" t="s">
        <v>170</v>
      </c>
    </row>
    <row r="15" spans="1:18" ht="24.95" customHeight="1" x14ac:dyDescent="0.2">
      <c r="B15" s="98" t="s">
        <v>168</v>
      </c>
      <c r="C15" s="49" t="s">
        <v>121</v>
      </c>
      <c r="D15" s="87">
        <v>82184427288</v>
      </c>
    </row>
    <row r="16" spans="1:18" ht="24.95" customHeight="1" x14ac:dyDescent="0.2">
      <c r="B16" s="98" t="s">
        <v>120</v>
      </c>
      <c r="C16" s="49" t="s">
        <v>121</v>
      </c>
      <c r="D16" s="87" t="s">
        <v>167</v>
      </c>
    </row>
    <row r="18" spans="2:4" ht="63" customHeight="1" x14ac:dyDescent="0.2">
      <c r="B18" s="164" t="s">
        <v>173</v>
      </c>
      <c r="C18" s="164"/>
      <c r="D18" s="164"/>
    </row>
    <row r="19" spans="2:4" ht="40.5" customHeight="1" x14ac:dyDescent="0.2">
      <c r="B19" s="164" t="s">
        <v>123</v>
      </c>
      <c r="C19" s="164"/>
      <c r="D19" s="164"/>
    </row>
    <row r="21" spans="2:4" ht="24.95" customHeight="1" x14ac:dyDescent="0.2">
      <c r="D21" s="50" t="s">
        <v>172</v>
      </c>
    </row>
    <row r="22" spans="2:4" ht="15.75" customHeight="1" x14ac:dyDescent="0.2">
      <c r="D22" s="50" t="s">
        <v>171</v>
      </c>
    </row>
    <row r="26" spans="2:4" ht="24.95" customHeight="1" x14ac:dyDescent="0.2">
      <c r="D26" s="50" t="s">
        <v>162</v>
      </c>
    </row>
    <row r="28" spans="2:4" ht="24.95" customHeight="1" x14ac:dyDescent="0.2">
      <c r="D28" s="25" t="e">
        <f>+A13:D28B18A10:D28A12:D28A13:D28A12:D28A11:D28A10:D28A9:D28A8:D28A7:D28A6:D28A5:D28A4:D28A5:D28B18A10:D28B5:D28B6:D28B7:D28B8:D28A8:D28A7:D28A6:D28A5:D28</f>
        <v>#NAME?</v>
      </c>
    </row>
  </sheetData>
  <mergeCells count="5">
    <mergeCell ref="B18:D18"/>
    <mergeCell ref="B19:D19"/>
    <mergeCell ref="A1:F1"/>
    <mergeCell ref="A2:F2"/>
    <mergeCell ref="A3:F3"/>
  </mergeCells>
  <pageMargins left="0.25" right="0.25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21</vt:i4>
      </vt:variant>
      <vt:variant>
        <vt:lpstr>Rentang Bernama</vt:lpstr>
      </vt:variant>
      <vt:variant>
        <vt:i4>4</vt:i4>
      </vt:variant>
    </vt:vector>
  </HeadingPairs>
  <TitlesOfParts>
    <vt:vector size="25" baseType="lpstr">
      <vt:lpstr>Sheet1</vt:lpstr>
      <vt:lpstr>Data</vt:lpstr>
      <vt:lpstr>S. DEPAN</vt:lpstr>
      <vt:lpstr>S. BELAKANG</vt:lpstr>
      <vt:lpstr>Data </vt:lpstr>
      <vt:lpstr>data aplikasi</vt:lpstr>
      <vt:lpstr>REKAP1</vt:lpstr>
      <vt:lpstr>REKAP</vt:lpstr>
      <vt:lpstr>tajwid</vt:lpstr>
      <vt:lpstr>tauhid</vt:lpstr>
      <vt:lpstr>kitabah</vt:lpstr>
      <vt:lpstr>Wudlu</vt:lpstr>
      <vt:lpstr>Fasolatan</vt:lpstr>
      <vt:lpstr>doa harian</vt:lpstr>
      <vt:lpstr>Tartil dan Fashohah</vt:lpstr>
      <vt:lpstr>Ghoroib </vt:lpstr>
      <vt:lpstr>Surat Pendek</vt:lpstr>
      <vt:lpstr>Printer</vt:lpstr>
      <vt:lpstr>Rekap (2)</vt:lpstr>
      <vt:lpstr>peringkat</vt:lpstr>
      <vt:lpstr>Formulir</vt:lpstr>
      <vt:lpstr>Fasolatan!Print_Area</vt:lpstr>
      <vt:lpstr>kitabah!Print_Area</vt:lpstr>
      <vt:lpstr>tajwid!Print_Area</vt:lpstr>
      <vt:lpstr>tauhid!Print_Area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WinProX11</cp:lastModifiedBy>
  <cp:lastPrinted>2025-09-12T14:24:28Z</cp:lastPrinted>
  <dcterms:created xsi:type="dcterms:W3CDTF">2014-05-12T11:10:13Z</dcterms:created>
  <dcterms:modified xsi:type="dcterms:W3CDTF">2025-09-12T14:28:22Z</dcterms:modified>
</cp:coreProperties>
</file>